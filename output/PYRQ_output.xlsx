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d) KP - HR\Recruiting\"/>
    </mc:Choice>
  </mc:AlternateContent>
  <xr:revisionPtr revIDLastSave="0" documentId="13_ncr:1_{88521B93-7B42-425D-8820-104C8540CA87}" xr6:coauthVersionLast="47" xr6:coauthVersionMax="47" xr10:uidLastSave="{00000000-0000-0000-0000-000000000000}"/>
  <bookViews>
    <workbookView xWindow="28680" yWindow="-120" windowWidth="29040" windowHeight="17790" activeTab="2" xr2:uid="{A2493173-A2FD-473C-A3C9-27A641200B90}"/>
  </bookViews>
  <sheets>
    <sheet name="ex1_curr" sheetId="4" state="visible" r:id="rId1"/>
    <sheet name="ex1_prior" sheetId="5" state="visible" r:id="rId2"/>
    <sheet name="ex2_tri" sheetId="3" state="visible" r:id="rId3"/>
    <sheet name="initial diagnostics" sheetId="6" state="visible" r:id="rId4"/>
    <sheet name="triangles" sheetId="7" state="visible" r:id="rId5"/>
    <sheet name="notes" sheetId="8" state="visible" r:id="rId6"/>
    <sheet name="maybe missing claims" sheetId="9" state="visible" r:id="rId7"/>
    <sheet name="closure flag vs case" sheetId="10" state="visible" r:id="rId8"/>
    <sheet name="paid+case vs rptd" sheetId="11" state="visible" r:id="rId9"/>
    <sheet name="paid decreased" sheetId="12" state="visible" r:id="rId10"/>
    <sheet name="loss or report date changed" sheetId="13" state="visible" r:id="rId11"/>
    <sheet name="claim number disappeared" sheetId="14" state="visible" r:id="rId12"/>
    <sheet name="error summary" sheetId="15" state="visible" r:id="rId13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<sst xmlns="http://schemas.openxmlformats.org/spreadsheetml/2006/main" count="25" uniqueCount="25">
  <si>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claim_num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</si>
  <si>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</si>
  <si>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</si>
  <si>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</si>
  <si>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</si>
  <si>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</si>
  <si>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</si>
  <si>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</si>
  <si>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</si>
  <si>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</si>
  <si>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</si>
  <si>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</si>
  <si>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</si>
  <si>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acc_date</t>
  </si>
  <si>
    <t>rep_date</t>
  </si>
  <si>
    <t>A0013</t>
  </si>
  <si>
    <t>claim_status</t>
  </si>
  <si>
    <t>Closed</t>
  </si>
  <si>
    <t>Open</t>
  </si>
  <si>
    <t>rep_loss</t>
  </si>
  <si>
    <t>pd_loss</t>
  </si>
  <si>
    <t>case_loss</t>
  </si>
  <si>
    <t>clsd_date</t>
  </si>
  <si>
    <t>acc_yr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</si>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</sst>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6" formatCode="0.000"/>
    <numFmt numFmtId="167" formatCode="###0"/>
    <numFmt numFmtId="168" formatCode="###0"/>
    <numFmt numFmtId="169" formatCode="#,##0"/>
    <numFmt numFmtId="170" formatCode="0.000"/>
    <numFmt numFmtId="171" formatCode="0.000"/>
    <numFmt numFmtId="172" formatCode="#,##0"/>
    <numFmt numFmtId="173" formatCode="#,##0"/>
    <numFmt numFmtId="174" formatCode="YYYY\/MM\/DD"/>
    <numFmt numFmtId="175" formatCode="YYYY\/MM\/DD"/>
    <numFmt numFmtId="176" formatCode="YYYY\/MM\/DD"/>
    <numFmt numFmtId="177" formatCode="YYYY\/MM\/DD"/>
    <numFmt numFmtId="178" formatCode="#,##0"/>
    <numFmt numFmtId="179" formatCode="#,##0"/>
    <numFmt numFmtId="180" formatCode="YYYY\/MM\/DD"/>
    <numFmt numFmtId="181" formatCode="YYYY\/MM\/DD"/>
    <numFmt numFmtId="182" formatCode="YYYY\/MM\/DD"/>
    <numFmt numFmtId="183" formatCode="YYYY\/MM\/DD"/>
    <numFmt numFmtId="184" formatCode="#,##0"/>
    <numFmt numFmtId="185" formatCode="#,##0"/>
    <numFmt numFmtId="186" formatCode="YYYY\/MM\/DD"/>
    <numFmt numFmtId="187" formatCode="YYYY\/MM\/DD"/>
    <numFmt numFmtId="188" formatCode="YYYY\/MM\/DD"/>
    <numFmt numFmtId="189" formatCode="YYYY\/MM\/DD"/>
    <numFmt numFmtId="190" formatCode="#,##0"/>
    <numFmt numFmtId="191" formatCode="#,##0"/>
    <numFmt numFmtId="192" formatCode="YYYY\/MM\/DD"/>
    <numFmt numFmtId="193" formatCode="YYYY\/MM\/DD"/>
    <numFmt numFmtId="194" formatCode="YYYY\/MM\/DD"/>
    <numFmt numFmtId="195" formatCode="YYYY\/MM\/DD"/>
    <numFmt numFmtId="196" formatCode="YYYY\/MM\/DD"/>
    <numFmt numFmtId="197" formatCode="YYYY\/MM\/DD"/>
    <numFmt numFmtId="198" formatCode="YYYY\/MM\/DD"/>
    <numFmt numFmtId="199" formatCode="YYYY\/MM\/DD"/>
    <numFmt numFmtId="200" formatCode="#,##0"/>
    <numFmt numFmtId="201" formatCode="#,##0"/>
    <numFmt numFmtId="202" formatCode="YYYY\/MM\/DD"/>
    <numFmt numFmtId="203" formatCode="YYYY\/MM\/DD"/>
    <numFmt numFmtId="204" formatCode="YYYY\/MM\/DD"/>
    <numFmt numFmtId="205" formatCode="YYYY\/MM\/DD"/>
    <numFmt numFmtId="206" formatCode="YYYY\/MM\/DD"/>
    <numFmt numFmtId="207" formatCode="YYYY\/MM\/DD"/>
    <numFmt numFmtId="208" formatCode="YYYY\/MM\/DD"/>
    <numFmt numFmtId="209" formatCode="YYYY\/MM\/DD"/>
    <numFmt numFmtId="210" formatCode="#,##0"/>
    <numFmt numFmtId="211" formatCode="#,##0"/>
    <numFmt numFmtId="212" formatCode="YYYY\/MM\/DD"/>
    <numFmt numFmtId="213" formatCode="YYYY\/MM\/DD"/>
    <numFmt numFmtId="214" formatCode="YYYY\/MM\/DD"/>
    <numFmt numFmtId="215" formatCode="YYYY\/MM\/DD"/>
    <numFmt numFmtId="216" formatCode="YYYY\/MM\/DD"/>
    <numFmt numFmtId="217" formatCode="YYYY\/MM\/DD"/>
    <numFmt numFmtId="218" formatCode="YYYY\/MM\/DD"/>
    <numFmt numFmtId="219" formatCode="YYYY\/MM\/DD"/>
    <numFmt numFmtId="220" formatCode="#,##0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8C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3" fontId="0" fillId="0" borderId="0" xfId="0" applyNumberFormat="1"/>
    <xf numFmtId="166" fontId="0" fillId="0" borderId="0" xfId="0" applyNumberFormat="1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applyNumberFormat="1" borderId="0" fillId="0" fontId="0" numFmtId="167" xfId="0"/>
    <xf applyFont="1" borderId="0" fillId="0" fontId="2" numFmtId="0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NumberFormat="1" borderId="0" fillId="0" fontId="0" numFmtId="14" xfId="0"/>
    <xf applyNumberFormat="1" borderId="0" fillId="0" fontId="0" numFmtId="178" xfId="0"/>
    <xf applyNumberFormat="1" borderId="0" fillId="0" fontId="0" numFmtId="179" xfId="0"/>
    <xf applyFont="1" applyNumberFormat="1" borderId="0" fillId="0" fontId="2" numFmtId="178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ill="1" applyFont="1" borderId="0" fillId="2" fontId="2" numFmtId="0" xfId="0"/>
    <xf applyFill="1" borderId="0" fillId="2" fontId="0" numFmtId="0" xfId="0"/>
    <xf applyFill="1" applyFont="1" applyNumberFormat="1" borderId="0" fillId="2" fontId="2" numFmtId="178" xfId="0"/>
    <xf applyFill="1" applyNumberFormat="1" borderId="0" fillId="2" fontId="0" numFmtId="178" xfId="0"/>
    <xf applyFill="1" applyFont="1" applyNumberFormat="1" borderId="0" fillId="2" fontId="2" numFmtId="180" xfId="0"/>
    <xf applyFill="1" applyNumberFormat="1" borderId="0" fillId="2" fontId="0" numFmtId="181" xfId="0"/>
    <xf applyFill="1" applyFont="1" applyNumberFormat="1" borderId="0" fillId="2" fontId="2" numFmtId="182" xfId="0"/>
    <xf applyFill="1" applyNumberFormat="1" borderId="0" fillId="2" fontId="0" numFmtId="183" xfId="0"/>
    <xf applyNumberFormat="1" borderId="0" fillId="0" fontId="0" numFmtId="184" xfId="0"/>
    <xf applyNumberFormat="1" borderId="0" fillId="0" fontId="0" numFmtId="185" xfId="0"/>
    <xf applyFont="1" applyNumberFormat="1" borderId="0" fillId="0" fontId="2" numFmtId="184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ill="1" applyFont="1" applyNumberFormat="1" borderId="0" fillId="2" fontId="2" numFmtId="184" xfId="0"/>
    <xf applyFill="1" applyNumberFormat="1" borderId="0" fillId="2" fontId="0" numFmtId="184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0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ill="1" applyFont="1" applyNumberFormat="1" borderId="0" fillId="2" fontId="2" numFmtId="190" xfId="0"/>
    <xf applyFill="1" applyNumberFormat="1" borderId="0" fillId="2" fontId="0" numFmtId="190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0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ill="1" applyFont="1" applyNumberFormat="1" borderId="0" fillId="2" fontId="2" numFmtId="200" xfId="0"/>
    <xf applyFill="1" applyNumberFormat="1" borderId="0" fillId="2" fontId="0" numFmtId="200" xfId="0"/>
    <xf applyFill="1" applyFont="1" applyNumberFormat="1" borderId="0" fillId="2" fontId="2" numFmtId="202" xfId="0"/>
    <xf applyFill="1" applyNumberFormat="1" borderId="0" fillId="2" fontId="0" numFmtId="203" xfId="0"/>
    <xf applyFill="1" applyFont="1" applyNumberFormat="1" borderId="0" fillId="2" fontId="2" numFmtId="204" xfId="0"/>
    <xf applyFill="1" applyNumberFormat="1" borderId="0" fillId="2" fontId="0" numFmtId="205" xfId="0"/>
    <xf applyFill="1" applyFont="1" applyNumberFormat="1" borderId="0" fillId="2" fontId="2" numFmtId="206" xfId="0"/>
    <xf applyFill="1" applyNumberFormat="1" borderId="0" fillId="2" fontId="0" numFmtId="207" xfId="0"/>
    <xf applyFill="1" applyFont="1" applyNumberFormat="1" borderId="0" fillId="2" fontId="2" numFmtId="208" xfId="0"/>
    <xf applyFill="1" applyNumberFormat="1" borderId="0" fillId="2" fontId="0" numFmtId="209" xfId="0"/>
    <xf applyNumberFormat="1" borderId="0" fillId="0" fontId="0" numFmtId="210" xfId="0"/>
    <xf applyNumberFormat="1" borderId="0" fillId="0" fontId="0" numFmtId="211" xfId="0"/>
    <xf applyFont="1" applyNumberFormat="1" borderId="0" fillId="0" fontId="2" numFmtId="210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ill="1" applyFont="1" applyNumberFormat="1" borderId="0" fillId="2" fontId="2" numFmtId="210" xfId="0"/>
    <xf applyFill="1" applyNumberFormat="1" borderId="0" fillId="2" fontId="0" numFmtId="210" xfId="0"/>
    <xf applyNumberFormat="1" borderId="0" fillId="0" fontId="0" numFmtId="220" xfId="0"/>
    <xf applyFont="1" applyNumberFormat="1" borderId="0" fillId="0" fontId="2" numFmtId="220" xfId="0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zoomScale="85" zoomScaleNormal="85" workbookViewId="0">
      <selection activeCell="A13" sqref="A13:H13"/>
    </sheetView>
  </sheetViews>
  <sheetFormatPr defaultRowHeight="15" x14ac:dyDescent="0.25"/>
  <cols>
    <col min="2" max="3" width="10.85546875" bestFit="1" customWidth="1"/>
    <col min="4" max="4" width="10.7109375" bestFit="1" customWidth="1"/>
    <col min="6" max="8" width="9.42578125" bestFit="1" customWidth="1"/>
  </cols>
  <sheetData>
    <row r="1" spans="1:8" x14ac:dyDescent="0.25">
      <c r="A1" s="3" t="s">
        <v>0</v>
      </c>
      <c r="B1" s="3" t="s">
        <v>13</v>
      </c>
      <c r="C1" s="3" t="s">
        <v>14</v>
      </c>
      <c r="D1" s="3" t="s">
        <v>22</v>
      </c>
      <c r="E1" s="3" t="s">
        <v>16</v>
      </c>
      <c r="F1" s="3" t="s">
        <v>19</v>
      </c>
      <c r="G1" s="3" t="s">
        <v>20</v>
      </c>
      <c r="H1" s="3" t="s">
        <v>21</v>
      </c>
    </row>
    <row r="2" spans="1:8" x14ac:dyDescent="0.25">
      <c r="A2" s="3" t="s">
        <v>1</v>
      </c>
      <c r="B2" s="4">
        <v>43499</v>
      </c>
      <c r="C2" s="4">
        <v>43617</v>
      </c>
      <c r="D2" s="4">
        <v>44217</v>
      </c>
      <c r="E2" s="3" t="s">
        <v>17</v>
      </c>
      <c r="F2" s="5">
        <v>72568</v>
      </c>
      <c r="G2" s="5">
        <v>72568</v>
      </c>
      <c r="H2" s="5">
        <v>0</v>
      </c>
    </row>
    <row r="3" spans="1:8" x14ac:dyDescent="0.25">
      <c r="A3" s="3" t="s">
        <v>2</v>
      </c>
      <c r="B3" s="4">
        <v>43629</v>
      </c>
      <c r="C3" s="4">
        <v>44043</v>
      </c>
      <c r="D3" s="4"/>
      <c r="E3" s="3" t="s">
        <v>18</v>
      </c>
      <c r="F3" s="5">
        <v>35287</v>
      </c>
      <c r="G3" s="5">
        <v>27458</v>
      </c>
      <c r="H3" s="5">
        <v>7829</v>
      </c>
    </row>
    <row r="4" spans="1:8" x14ac:dyDescent="0.25">
      <c r="A4" s="3" t="s">
        <v>3</v>
      </c>
      <c r="B4" s="4">
        <v>43704</v>
      </c>
      <c r="C4" s="4">
        <v>44109</v>
      </c>
      <c r="D4" s="4"/>
      <c r="E4" s="3" t="s">
        <v>18</v>
      </c>
      <c r="F4" s="5">
        <v>86564</v>
      </c>
      <c r="G4" s="5">
        <v>78926</v>
      </c>
      <c r="H4" s="5">
        <v>8638</v>
      </c>
    </row>
    <row r="5" spans="1:8" x14ac:dyDescent="0.25">
      <c r="A5" s="3" t="s">
        <v>4</v>
      </c>
      <c r="B5" s="4">
        <v>43721</v>
      </c>
      <c r="C5" s="4">
        <v>44282</v>
      </c>
      <c r="D5" s="4">
        <v>44597</v>
      </c>
      <c r="E5" s="3" t="s">
        <v>17</v>
      </c>
      <c r="F5" s="5">
        <v>7568</v>
      </c>
      <c r="G5" s="5">
        <v>7568</v>
      </c>
      <c r="H5" s="5">
        <v>0</v>
      </c>
    </row>
    <row r="6" spans="1:8" x14ac:dyDescent="0.25">
      <c r="A6" s="3" t="s">
        <v>5</v>
      </c>
      <c r="B6" s="4">
        <v>43932</v>
      </c>
      <c r="C6" s="4">
        <v>44489</v>
      </c>
      <c r="D6" s="4">
        <v>44720</v>
      </c>
      <c r="E6" s="3" t="s">
        <v>17</v>
      </c>
      <c r="F6" s="5">
        <v>256845</v>
      </c>
      <c r="G6" s="5">
        <v>256845</v>
      </c>
      <c r="H6" s="5">
        <v>0</v>
      </c>
    </row>
    <row r="7" spans="1:8" x14ac:dyDescent="0.25">
      <c r="A7" s="3" t="s">
        <v>6</v>
      </c>
      <c r="B7" s="4">
        <v>43984</v>
      </c>
      <c r="C7" s="4">
        <v>43994</v>
      </c>
      <c r="D7" s="4">
        <v>44103</v>
      </c>
      <c r="E7" s="3" t="s">
        <v>17</v>
      </c>
      <c r="F7" s="5">
        <v>43718</v>
      </c>
      <c r="G7" s="5">
        <v>43718</v>
      </c>
      <c r="H7" s="5">
        <v>0</v>
      </c>
    </row>
    <row r="8" spans="1:8" x14ac:dyDescent="0.25">
      <c r="A8" s="3" t="s">
        <v>7</v>
      </c>
      <c r="B8" s="4">
        <v>44064</v>
      </c>
      <c r="C8" s="4">
        <v>44745</v>
      </c>
      <c r="D8" s="4">
        <v>44757</v>
      </c>
      <c r="E8" s="3" t="s">
        <v>17</v>
      </c>
      <c r="F8" s="5">
        <v>7843</v>
      </c>
      <c r="G8" s="5">
        <v>7843</v>
      </c>
      <c r="H8" s="5">
        <v>0</v>
      </c>
    </row>
    <row r="9" spans="1:8" x14ac:dyDescent="0.25">
      <c r="A9" s="3" t="s">
        <v>8</v>
      </c>
      <c r="B9" s="4">
        <v>44203</v>
      </c>
      <c r="C9" s="4">
        <v>44245</v>
      </c>
      <c r="D9" s="4"/>
      <c r="E9" s="4" t="s">
        <v>18</v>
      </c>
      <c r="F9" s="5">
        <v>78300</v>
      </c>
      <c r="G9" s="5">
        <v>23792</v>
      </c>
      <c r="H9" s="5">
        <v>54508</v>
      </c>
    </row>
    <row r="10" spans="1:8" x14ac:dyDescent="0.25">
      <c r="A10" s="3" t="s">
        <v>9</v>
      </c>
      <c r="B10" s="4">
        <v>44216</v>
      </c>
      <c r="C10" s="4">
        <v>44325</v>
      </c>
      <c r="D10" s="4"/>
      <c r="E10" s="4" t="s">
        <v>18</v>
      </c>
      <c r="F10" s="5">
        <v>87824</v>
      </c>
      <c r="G10" s="5">
        <v>79087</v>
      </c>
      <c r="H10" s="5">
        <v>8737</v>
      </c>
    </row>
    <row r="11" spans="1:8" x14ac:dyDescent="0.25">
      <c r="A11" s="3" t="s">
        <v>11</v>
      </c>
      <c r="B11" s="4">
        <v>44330</v>
      </c>
      <c r="C11" s="4">
        <v>44853</v>
      </c>
      <c r="D11" s="4">
        <v>44897</v>
      </c>
      <c r="E11" s="3" t="s">
        <v>17</v>
      </c>
      <c r="F11" s="5">
        <v>62968</v>
      </c>
      <c r="G11" s="5">
        <v>61968</v>
      </c>
      <c r="H11" s="5">
        <v>1000</v>
      </c>
    </row>
    <row r="12" spans="1:8" x14ac:dyDescent="0.25">
      <c r="A12" s="3" t="s">
        <v>12</v>
      </c>
      <c r="B12" s="4">
        <v>44302</v>
      </c>
      <c r="C12" s="4">
        <v>44354</v>
      </c>
      <c r="D12" s="4">
        <v>44641</v>
      </c>
      <c r="E12" s="3" t="s">
        <v>17</v>
      </c>
      <c r="F12" s="5">
        <v>44128</v>
      </c>
      <c r="G12" s="5">
        <v>44128</v>
      </c>
      <c r="H12" s="5">
        <v>0</v>
      </c>
    </row>
    <row r="13" spans="1:8" x14ac:dyDescent="0.25">
      <c r="A13" s="3" t="s">
        <v>15</v>
      </c>
      <c r="B13" s="4">
        <v>44861</v>
      </c>
      <c r="C13" s="4">
        <v>45011</v>
      </c>
      <c r="D13" s="4"/>
      <c r="E13" s="3" t="s">
        <v>18</v>
      </c>
      <c r="F13" s="5">
        <v>8399</v>
      </c>
      <c r="G13" s="5">
        <v>6586</v>
      </c>
      <c r="H13" s="5">
        <v>1813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zoomScale="85" zoomScaleNormal="85" workbookViewId="0">
      <selection activeCell="A30" sqref="A30:H30"/>
    </sheetView>
  </sheetViews>
  <sheetFormatPr defaultRowHeight="15" x14ac:dyDescent="0.25"/>
  <cols>
    <col min="2" max="3" width="10.85546875" bestFit="1" customWidth="1"/>
    <col min="4" max="4" width="10.7109375" bestFit="1" customWidth="1"/>
    <col min="6" max="8" width="9.42578125" bestFit="1" customWidth="1"/>
  </cols>
  <sheetData>
    <row r="1" spans="1:8" x14ac:dyDescent="0.25">
      <c r="A1" s="3" t="s">
        <v>0</v>
      </c>
      <c r="B1" s="3" t="s">
        <v>13</v>
      </c>
      <c r="C1" s="3" t="s">
        <v>14</v>
      </c>
      <c r="D1" s="3" t="s">
        <v>22</v>
      </c>
      <c r="E1" s="3" t="s">
        <v>16</v>
      </c>
      <c r="F1" s="3" t="s">
        <v>19</v>
      </c>
      <c r="G1" s="3" t="s">
        <v>20</v>
      </c>
      <c r="H1" s="3" t="s">
        <v>21</v>
      </c>
    </row>
    <row r="2" spans="1:8" x14ac:dyDescent="0.25">
      <c r="A2" s="3" t="s">
        <v>1</v>
      </c>
      <c r="B2" s="4">
        <v>43499</v>
      </c>
      <c r="C2" s="4">
        <v>43617</v>
      </c>
      <c r="D2" s="4">
        <v>44217</v>
      </c>
      <c r="E2" s="3" t="s">
        <v>17</v>
      </c>
      <c r="F2" s="5">
        <v>74570</v>
      </c>
      <c r="G2" s="5">
        <v>74570</v>
      </c>
      <c r="H2" s="5">
        <v>0</v>
      </c>
    </row>
    <row r="3" spans="1:8" x14ac:dyDescent="0.25">
      <c r="A3" s="3" t="s">
        <v>2</v>
      </c>
      <c r="B3" s="4">
        <v>43629</v>
      </c>
      <c r="C3" s="4">
        <v>44043</v>
      </c>
      <c r="D3" s="4">
        <v>44119</v>
      </c>
      <c r="E3" s="3" t="s">
        <v>17</v>
      </c>
      <c r="F3" s="5">
        <v>27458</v>
      </c>
      <c r="G3" s="5">
        <v>27458</v>
      </c>
      <c r="H3" s="5">
        <v>0</v>
      </c>
    </row>
    <row r="4" spans="1:8" x14ac:dyDescent="0.25">
      <c r="A4" s="3" t="s">
        <v>3</v>
      </c>
      <c r="B4" s="4">
        <v>43704</v>
      </c>
      <c r="C4" s="4">
        <v>44109</v>
      </c>
      <c r="D4" s="4"/>
      <c r="E4" s="3" t="s">
        <v>18</v>
      </c>
      <c r="F4" s="5">
        <v>86564</v>
      </c>
      <c r="G4" s="5">
        <v>77926</v>
      </c>
      <c r="H4" s="5">
        <v>8638</v>
      </c>
    </row>
    <row r="5" spans="1:8" x14ac:dyDescent="0.25">
      <c r="A5" s="3" t="s">
        <v>4</v>
      </c>
      <c r="B5" s="4">
        <v>43721</v>
      </c>
      <c r="C5" s="4">
        <v>44282</v>
      </c>
      <c r="D5" s="4"/>
      <c r="E5" s="3" t="s">
        <v>18</v>
      </c>
      <c r="F5" s="5">
        <v>9811</v>
      </c>
      <c r="G5" s="5">
        <v>5464</v>
      </c>
      <c r="H5" s="5">
        <v>4347</v>
      </c>
    </row>
    <row r="6" spans="1:8" x14ac:dyDescent="0.25">
      <c r="A6" s="3" t="s">
        <v>5</v>
      </c>
      <c r="B6" s="4">
        <v>43932</v>
      </c>
      <c r="C6" s="4">
        <v>44489</v>
      </c>
      <c r="D6" s="4"/>
      <c r="E6" s="3" t="s">
        <v>18</v>
      </c>
      <c r="F6" s="5">
        <v>85426</v>
      </c>
      <c r="G6" s="5">
        <v>18129</v>
      </c>
      <c r="H6" s="5">
        <v>67297</v>
      </c>
    </row>
    <row r="7" spans="1:8" x14ac:dyDescent="0.25">
      <c r="A7" s="3" t="s">
        <v>6</v>
      </c>
      <c r="B7" s="4">
        <v>43984</v>
      </c>
      <c r="C7" s="4">
        <v>43994</v>
      </c>
      <c r="D7" s="4">
        <v>44103</v>
      </c>
      <c r="E7" s="3" t="s">
        <v>17</v>
      </c>
      <c r="F7" s="5">
        <v>43718</v>
      </c>
      <c r="G7" s="5">
        <v>43718</v>
      </c>
      <c r="H7" s="5">
        <v>0</v>
      </c>
    </row>
    <row r="8" spans="1:8" x14ac:dyDescent="0.25">
      <c r="A8" s="3" t="s">
        <v>7</v>
      </c>
      <c r="B8" s="4">
        <v>44054</v>
      </c>
      <c r="C8" s="4">
        <v>44745</v>
      </c>
      <c r="D8" s="4">
        <v>44757</v>
      </c>
      <c r="E8" s="3" t="s">
        <v>17</v>
      </c>
      <c r="F8" s="5">
        <v>7843</v>
      </c>
      <c r="G8" s="5">
        <v>7843</v>
      </c>
      <c r="H8" s="5">
        <v>0</v>
      </c>
    </row>
    <row r="9" spans="1:8" x14ac:dyDescent="0.25">
      <c r="A9" s="3" t="s">
        <v>8</v>
      </c>
      <c r="B9" s="4">
        <v>44203</v>
      </c>
      <c r="C9" s="4">
        <v>44245</v>
      </c>
      <c r="D9" s="4"/>
      <c r="E9" s="3" t="s">
        <v>18</v>
      </c>
      <c r="F9" s="5">
        <v>78300</v>
      </c>
      <c r="G9" s="5">
        <v>25792</v>
      </c>
      <c r="H9" s="5">
        <v>52508</v>
      </c>
    </row>
    <row r="10" spans="1:8" x14ac:dyDescent="0.25">
      <c r="A10" s="3" t="s">
        <v>9</v>
      </c>
      <c r="B10" s="4">
        <v>44216</v>
      </c>
      <c r="C10" s="4">
        <v>44325</v>
      </c>
      <c r="D10" s="4"/>
      <c r="E10" s="3" t="s">
        <v>18</v>
      </c>
      <c r="F10" s="5">
        <v>87824</v>
      </c>
      <c r="G10" s="5">
        <v>79087</v>
      </c>
      <c r="H10" s="5">
        <v>8737</v>
      </c>
    </row>
    <row r="11" spans="1:8" x14ac:dyDescent="0.25">
      <c r="A11" s="3" t="s">
        <v>10</v>
      </c>
      <c r="B11" s="4">
        <v>44312</v>
      </c>
      <c r="C11" s="4">
        <v>44545</v>
      </c>
      <c r="D11" s="4"/>
      <c r="E11" s="3" t="s">
        <v>18</v>
      </c>
      <c r="F11" s="5">
        <v>17378</v>
      </c>
      <c r="G11" s="5">
        <v>12512</v>
      </c>
      <c r="H11" s="5">
        <v>4866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8"/>
  <sheetViews>
    <sheetView tabSelected="1" zoomScale="85" zoomScaleNormal="85" workbookViewId="0">
      <selection activeCell="E26" sqref="E26"/>
    </sheetView>
  </sheetViews>
  <sheetFormatPr defaultRowHeight="15" x14ac:dyDescent="0.25"/>
  <sheetData>
    <row r="1" spans="1:10" x14ac:dyDescent="0.25">
      <c r="A1" t="s">
        <v>23</v>
      </c>
      <c r="B1">
        <v>12</v>
      </c>
      <c r="C1">
        <f>B1+12</f>
        <v>24</v>
      </c>
      <c r="D1">
        <f t="shared" ref="D1:I1" si="0">C1+12</f>
        <v>36</v>
      </c>
      <c r="E1">
        <f t="shared" si="0"/>
        <v>48</v>
      </c>
      <c r="F1">
        <f t="shared" si="0"/>
        <v>60</v>
      </c>
      <c r="G1">
        <f t="shared" si="0"/>
        <v>72</v>
      </c>
      <c r="H1">
        <f t="shared" si="0"/>
        <v>84</v>
      </c>
      <c r="I1">
        <f t="shared" si="0"/>
        <v>96</v>
      </c>
    </row>
    <row r="2" spans="1:10" x14ac:dyDescent="0.25">
      <c r="A2">
        <v>2015</v>
      </c>
      <c r="B2" s="1">
        <v>276000</v>
      </c>
      <c r="C2" s="1">
        <v>412000</v>
      </c>
      <c r="D2" s="1">
        <v>463000</v>
      </c>
      <c r="E2" s="1">
        <v>435000</v>
      </c>
      <c r="F2" s="1">
        <v>440000</v>
      </c>
      <c r="G2" s="1">
        <v>445000</v>
      </c>
      <c r="H2" s="1">
        <v>468000</v>
      </c>
      <c r="I2" s="1">
        <v>470000</v>
      </c>
    </row>
    <row r="3" spans="1:10" x14ac:dyDescent="0.25">
      <c r="A3">
        <f>A2+1</f>
        <v>2016</v>
      </c>
      <c r="B3" s="1">
        <v>319000</v>
      </c>
      <c r="C3" s="1">
        <v>513000</v>
      </c>
      <c r="D3" s="1">
        <v>570000</v>
      </c>
      <c r="E3" s="1">
        <v>858000</v>
      </c>
      <c r="F3" s="1">
        <v>859000</v>
      </c>
      <c r="G3" s="1">
        <v>899000</v>
      </c>
      <c r="H3" s="1">
        <v>924000</v>
      </c>
      <c r="I3" s="1"/>
    </row>
    <row r="4" spans="1:10" x14ac:dyDescent="0.25">
      <c r="A4">
        <f t="shared" ref="A4:A9" si="1">A3+1</f>
        <v>2017</v>
      </c>
      <c r="B4" s="1">
        <v>538000</v>
      </c>
      <c r="C4" s="1">
        <v>702000</v>
      </c>
      <c r="D4" s="1">
        <v>737000</v>
      </c>
      <c r="E4" s="1">
        <v>765000</v>
      </c>
      <c r="F4" s="1">
        <v>950000</v>
      </c>
      <c r="G4" s="1">
        <v>1006000</v>
      </c>
      <c r="H4" s="1"/>
      <c r="I4" s="1"/>
    </row>
    <row r="5" spans="1:10" x14ac:dyDescent="0.25">
      <c r="A5">
        <f t="shared" si="1"/>
        <v>2018</v>
      </c>
      <c r="B5" s="1">
        <v>256000</v>
      </c>
      <c r="C5" s="1">
        <v>383000</v>
      </c>
      <c r="D5" s="1">
        <v>410000</v>
      </c>
      <c r="E5" s="1">
        <v>396000</v>
      </c>
      <c r="F5" s="1">
        <v>400000</v>
      </c>
    </row>
    <row r="6" spans="1:10" x14ac:dyDescent="0.25">
      <c r="A6">
        <f t="shared" si="1"/>
        <v>2019</v>
      </c>
      <c r="B6" s="1">
        <v>407000</v>
      </c>
      <c r="C6" s="1">
        <v>806000</v>
      </c>
      <c r="D6" s="1">
        <v>1016000</v>
      </c>
      <c r="E6" s="1">
        <v>1020000</v>
      </c>
      <c r="F6" s="1"/>
    </row>
    <row r="7" spans="1:10" x14ac:dyDescent="0.25">
      <c r="A7">
        <f t="shared" si="1"/>
        <v>2020</v>
      </c>
      <c r="B7" s="1">
        <v>422000</v>
      </c>
      <c r="C7" s="1">
        <v>643000</v>
      </c>
      <c r="D7" s="1">
        <v>772000</v>
      </c>
      <c r="E7" s="1"/>
      <c r="F7" s="1"/>
    </row>
    <row r="8" spans="1:10" x14ac:dyDescent="0.25">
      <c r="A8">
        <f t="shared" si="1"/>
        <v>2021</v>
      </c>
      <c r="B8" s="1">
        <v>350000</v>
      </c>
      <c r="C8" s="1">
        <v>631000</v>
      </c>
      <c r="D8" s="1"/>
      <c r="E8" s="1"/>
      <c r="F8" s="1"/>
    </row>
    <row r="9" spans="1:10" x14ac:dyDescent="0.25">
      <c r="A9">
        <f t="shared" si="1"/>
        <v>2022</v>
      </c>
      <c r="B9" s="1">
        <v>350000</v>
      </c>
      <c r="C9" s="1"/>
      <c r="D9" s="1"/>
      <c r="E9" s="1"/>
      <c r="F9" s="1"/>
    </row>
    <row r="11" spans="1:10" x14ac:dyDescent="0.25">
      <c r="A11" s="2" t="s">
        <v>24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</row>
    <row r="12" spans="1:10" x14ac:dyDescent="0.25">
      <c r="A12" s="2" t="s">
        <v>24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</row>
    <row r="13" spans="1:10" x14ac:dyDescent="0.25">
      <c r="A13" s="2" t="s">
        <v>24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</row>
    <row r="14" spans="1:10" x14ac:dyDescent="0.25">
      <c r="A14" s="2" t="s">
        <v>24</v>
      </c>
      <c r="B14" s="2" t="s">
        <v>24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</row>
    <row r="15" spans="1:10" x14ac:dyDescent="0.25">
      <c r="A15" s="2" t="s">
        <v>24</v>
      </c>
      <c r="B15" s="2" t="s">
        <v>24</v>
      </c>
      <c r="C15" s="2" t="s">
        <v>24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</row>
    <row r="16" spans="1:10" x14ac:dyDescent="0.25">
      <c r="A16" s="2" t="s">
        <v>24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</row>
    <row r="17" spans="1:10" x14ac:dyDescent="0.25">
      <c r="A17" s="2" t="s">
        <v>24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</row>
    <row r="18" spans="1:10" x14ac:dyDescent="0.25">
      <c r="A18" s="2" t="s">
        <v>24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</row>
    <row r="19" spans="1:10" x14ac:dyDescent="0.25">
      <c r="A19" s="2" t="s">
        <v>24</v>
      </c>
      <c r="B19" s="2" t="s">
        <v>24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</row>
    <row r="20" spans="1:10" x14ac:dyDescent="0.25">
      <c r="A20" s="2" t="s">
        <v>24</v>
      </c>
      <c r="B20" s="2" t="s">
        <v>24</v>
      </c>
      <c r="C20" s="2" t="s">
        <v>24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</row>
    <row r="21" spans="1:10" x14ac:dyDescent="0.25">
      <c r="A21" s="2" t="s">
        <v>24</v>
      </c>
      <c r="B21" s="2" t="s">
        <v>24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</row>
    <row r="22" spans="1:10" x14ac:dyDescent="0.25">
      <c r="A22" s="2" t="s">
        <v>24</v>
      </c>
      <c r="B22" s="2" t="s">
        <v>24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</row>
    <row r="23" spans="1:10" x14ac:dyDescent="0.25">
      <c r="A23" s="2" t="s">
        <v>24</v>
      </c>
      <c r="B23" s="2" t="s">
        <v>24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</row>
    <row r="24" spans="1:10" x14ac:dyDescent="0.25">
      <c r="A24" s="2" t="s">
        <v>24</v>
      </c>
      <c r="B24" s="2" t="s">
        <v>24</v>
      </c>
      <c r="C24" s="2" t="s">
        <v>24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</row>
    <row r="25" spans="1:10" x14ac:dyDescent="0.25">
      <c r="A25" s="2" t="s">
        <v>24</v>
      </c>
      <c r="B25" s="2" t="s">
        <v>24</v>
      </c>
      <c r="C25" s="2" t="s">
        <v>24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</row>
    <row r="26" spans="1:10" x14ac:dyDescent="0.25">
      <c r="A26" s="2" t="s">
        <v>24</v>
      </c>
      <c r="B26" s="2" t="s">
        <v>24</v>
      </c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</row>
    <row r="27" spans="1:10" x14ac:dyDescent="0.25">
      <c r="A27" s="2" t="s">
        <v>24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</row>
    <row r="28" spans="1:10" x14ac:dyDescent="0.25">
      <c r="A28" s="2" t="s">
        <v>24</v>
      </c>
      <c r="B28" s="2" t="s">
        <v>24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:I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9.711"/>
    <col min="3" max="3" bestFit="1" customWidth="1" hidden="false" width="5.711"/>
    <col min="6" max="6" bestFit="1" customWidth="1" hidden="false" width="14.711"/>
    <col min="7" max="7" bestFit="1" customWidth="1" hidden="false" width="27.711"/>
    <col min="8" max="8" bestFit="1" customWidth="1" hidden="false" width="5.711"/>
  </cols>
  <sheetData>
    <row r="1">
      <c r="A1" s="7" t="inlineStr">
        <is>
          <t>triangle shape summary</t>
        </is>
      </c>
      <c r="B1" s="7"/>
      <c r="C1" s="7"/>
      <c r="D1" s="7"/>
      <c r="F1" s="7" t="inlineStr">
        <is>
          <t>initial errors</t>
        </is>
      </c>
      <c r="G1" s="7"/>
      <c r="H1" s="7"/>
      <c r="I1" s="7"/>
    </row>
    <row r="2">
      <c r="A2" s="7"/>
      <c r="B2" s="7"/>
      <c r="C2" s="7"/>
      <c r="D2" s="7"/>
      <c r="F2" s="7"/>
      <c r="G2" s="7"/>
      <c r="H2" s="7"/>
      <c r="I2" s="7"/>
    </row>
    <row r="3">
      <c r="A3" s="7"/>
      <c r="B3" s="7" t="inlineStr">
        <is>
          <t>key</t>
        </is>
      </c>
      <c r="C3" s="7" t="inlineStr">
        <is>
          <t>value</t>
        </is>
      </c>
      <c r="D3" s="7"/>
      <c r="F3" s="7"/>
      <c r="G3" s="7" t="inlineStr">
        <is>
          <t>message</t>
        </is>
      </c>
      <c r="H3" s="7" t="inlineStr">
        <is>
          <t>error</t>
        </is>
      </c>
      <c r="I3" s="7"/>
    </row>
    <row r="4">
      <c r="A4" s="7" t="inlineStr">
        <is>
          <t>1</t>
        </is>
      </c>
      <c r="B4" s="6" t="inlineStr">
        <is>
          <t>min AY</t>
        </is>
      </c>
      <c r="C4" s="6">
        <v>2015</v>
      </c>
      <c r="D4" s="6"/>
      <c r="F4" s="7" t="inlineStr">
        <is>
          <t>1</t>
        </is>
      </c>
      <c r="G4" s="8" t="inlineStr">
        <is>
          <t>matrices are equal</t>
        </is>
      </c>
      <c r="H4" s="8">
        <v>0</v>
      </c>
      <c r="I4" s="8"/>
    </row>
    <row r="5">
      <c r="A5" s="7" t="inlineStr">
        <is>
          <t>2</t>
        </is>
      </c>
      <c r="B5" s="6" t="inlineStr">
        <is>
          <t>max AY</t>
        </is>
      </c>
      <c r="C5" s="6">
        <v>2022</v>
      </c>
      <c r="D5" s="6"/>
      <c r="F5" s="7" t="inlineStr">
        <is>
          <t>2</t>
        </is>
      </c>
      <c r="G5" s="8" t="inlineStr">
        <is>
          <t>NAs are in triangle pattern</t>
        </is>
      </c>
      <c r="H5" s="8">
        <v>0</v>
      </c>
      <c r="I5" s="8"/>
    </row>
    <row r="6">
      <c r="A6" s="7" t="inlineStr">
        <is>
          <t>3</t>
        </is>
      </c>
      <c r="B6" s="6" t="inlineStr">
        <is>
          <t>min age</t>
        </is>
      </c>
      <c r="C6" s="6">
        <v>12</v>
      </c>
      <c r="D6" s="6"/>
      <c r="F6" s="7" t="inlineStr">
        <is>
          <t>3</t>
        </is>
      </c>
      <c r="G6" s="8" t="inlineStr">
        <is>
          <t>AYs as expected</t>
        </is>
      </c>
      <c r="H6" s="8">
        <v>0</v>
      </c>
      <c r="I6" s="8"/>
    </row>
    <row r="7">
      <c r="A7" s="7" t="inlineStr">
        <is>
          <t>4</t>
        </is>
      </c>
      <c r="B7" s="6" t="inlineStr">
        <is>
          <t>age step</t>
        </is>
      </c>
      <c r="C7" s="6">
        <v>12</v>
      </c>
      <c r="D7" s="6"/>
      <c r="F7" s="7" t="inlineStr">
        <is>
          <t>4</t>
        </is>
      </c>
      <c r="G7" s="8" t="inlineStr">
        <is>
          <t>ages are in linear pattern</t>
        </is>
      </c>
      <c r="H7" s="8">
        <v>0</v>
      </c>
      <c r="I7" s="8"/>
    </row>
    <row r="8">
      <c r="A8" s="7" t="inlineStr">
        <is>
          <t>5</t>
        </is>
      </c>
      <c r="B8" s="6" t="inlineStr">
        <is>
          <t>max age</t>
        </is>
      </c>
      <c r="C8" s="6">
        <v>96</v>
      </c>
      <c r="D8" s="6"/>
      <c r="F8" s="7"/>
      <c r="G8" s="8"/>
      <c r="H8" s="8"/>
      <c r="I8" s="8"/>
    </row>
    <row r="9">
      <c r="A9" s="7" t="inlineStr">
        <is>
          <t>6</t>
        </is>
      </c>
      <c r="B9" s="6" t="inlineStr">
        <is>
          <t>age count</t>
        </is>
      </c>
      <c r="C9" s="6">
        <v>8</v>
      </c>
      <c r="D9" s="6"/>
    </row>
    <row r="10">
      <c r="A10" s="7"/>
      <c r="B10" s="6"/>
      <c r="C10" s="6"/>
      <c r="D10" s="6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:L36"/>
  <sheetViews>
    <sheetView showGridLines="1" showRowColHeaders="1" tabSelected="0" workbookViewId="0" zoomScale="100"/>
  </sheetViews>
  <sheetFormatPr baseColWidth="8" defaultRowHeight="16" x14ac:dyDescent="0.2"/>
  <cols>
    <col min="1" max="12" bestFit="1" customWidth="1" hidden="false" width="12.711"/>
  </cols>
  <sheetData>
    <row r="1">
      <c r="A1" s="7" t="inlineStr">
        <is>
          <t>Historical Loss and Projected Ultimate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7"/>
      <c r="B3" s="7" t="inlineStr">
        <is>
          <t>12</t>
        </is>
      </c>
      <c r="C3" s="7" t="inlineStr">
        <is>
          <t>24</t>
        </is>
      </c>
      <c r="D3" s="7" t="inlineStr">
        <is>
          <t>36</t>
        </is>
      </c>
      <c r="E3" s="7" t="inlineStr">
        <is>
          <t>48</t>
        </is>
      </c>
      <c r="F3" s="7" t="inlineStr">
        <is>
          <t>60</t>
        </is>
      </c>
      <c r="G3" s="7" t="inlineStr">
        <is>
          <t>72</t>
        </is>
      </c>
      <c r="H3" s="7" t="inlineStr">
        <is>
          <t>84</t>
        </is>
      </c>
      <c r="I3" s="7" t="inlineStr">
        <is>
          <t>96</t>
        </is>
      </c>
      <c r="J3" s="7" t="inlineStr">
        <is>
          <t>Current</t>
        </is>
      </c>
      <c r="K3" s="7" t="inlineStr">
        <is>
          <t>ProjUlt</t>
        </is>
      </c>
      <c r="L3" s="7"/>
    </row>
    <row r="4">
      <c r="A4" s="7" t="inlineStr">
        <is>
          <t>2015</t>
        </is>
      </c>
      <c r="B4" s="9">
        <v>276000</v>
      </c>
      <c r="C4" s="9">
        <v>412000</v>
      </c>
      <c r="D4" s="9">
        <v>463000</v>
      </c>
      <c r="E4" s="9">
        <v>435000</v>
      </c>
      <c r="F4" s="9">
        <v>440000</v>
      </c>
      <c r="G4" s="9">
        <v>445000</v>
      </c>
      <c r="H4" s="9">
        <v>468000</v>
      </c>
      <c r="I4" s="9">
        <v>470000</v>
      </c>
      <c r="J4" s="9">
        <v>470000</v>
      </c>
      <c r="K4" s="9">
        <v>487316.945693657</v>
      </c>
      <c r="L4" s="9"/>
    </row>
    <row r="5">
      <c r="A5" s="7" t="inlineStr">
        <is>
          <t>2016</t>
        </is>
      </c>
      <c r="B5" s="9">
        <v>319000</v>
      </c>
      <c r="C5" s="9">
        <v>513000</v>
      </c>
      <c r="D5" s="9">
        <v>570000</v>
      </c>
      <c r="E5" s="9">
        <v>858000</v>
      </c>
      <c r="F5" s="9">
        <v>859000</v>
      </c>
      <c r="G5" s="9">
        <v>899000</v>
      </c>
      <c r="H5" s="9">
        <v>924000</v>
      </c>
      <c r="I5" s="9" t="inlineStr">
        <is>
          <t/>
        </is>
      </c>
      <c r="J5" s="9">
        <v>924000</v>
      </c>
      <c r="K5" s="9">
        <v>969669.001064986</v>
      </c>
      <c r="L5" s="9"/>
    </row>
    <row r="6">
      <c r="A6" s="7" t="inlineStr">
        <is>
          <t>2017</t>
        </is>
      </c>
      <c r="B6" s="9">
        <v>538000</v>
      </c>
      <c r="C6" s="9">
        <v>702000</v>
      </c>
      <c r="D6" s="9">
        <v>737000</v>
      </c>
      <c r="E6" s="9">
        <v>765000</v>
      </c>
      <c r="F6" s="9">
        <v>950000</v>
      </c>
      <c r="G6" s="9">
        <v>1006000</v>
      </c>
      <c r="H6" s="9" t="inlineStr">
        <is>
          <t/>
        </is>
      </c>
      <c r="I6" s="9" t="inlineStr">
        <is>
          <t/>
        </is>
      </c>
      <c r="J6" s="9">
        <v>1006000</v>
      </c>
      <c r="K6" s="9">
        <v>1093426.23056083</v>
      </c>
      <c r="L6" s="9"/>
    </row>
    <row r="7">
      <c r="A7" s="7" t="inlineStr">
        <is>
          <t>2018</t>
        </is>
      </c>
      <c r="B7" s="9">
        <v>256000</v>
      </c>
      <c r="C7" s="9">
        <v>383000</v>
      </c>
      <c r="D7" s="9">
        <v>410000</v>
      </c>
      <c r="E7" s="9">
        <v>396000</v>
      </c>
      <c r="F7" s="9">
        <v>400000</v>
      </c>
      <c r="G7" s="9" t="inlineStr">
        <is>
          <t/>
        </is>
      </c>
      <c r="H7" s="9" t="inlineStr">
        <is>
          <t/>
        </is>
      </c>
      <c r="I7" s="9" t="inlineStr">
        <is>
          <t/>
        </is>
      </c>
      <c r="J7" s="9">
        <v>400000</v>
      </c>
      <c r="K7" s="9">
        <v>454286.577876973</v>
      </c>
      <c r="L7" s="9"/>
    </row>
    <row r="8">
      <c r="A8" s="7" t="inlineStr">
        <is>
          <t>2019</t>
        </is>
      </c>
      <c r="B8" s="9">
        <v>407000</v>
      </c>
      <c r="C8" s="9">
        <v>806000</v>
      </c>
      <c r="D8" s="9">
        <v>1016000</v>
      </c>
      <c r="E8" s="9">
        <v>1020000</v>
      </c>
      <c r="F8" s="9" t="inlineStr">
        <is>
          <t/>
        </is>
      </c>
      <c r="G8" s="9" t="inlineStr">
        <is>
          <t/>
        </is>
      </c>
      <c r="H8" s="9" t="inlineStr">
        <is>
          <t/>
        </is>
      </c>
      <c r="I8" s="9" t="inlineStr">
        <is>
          <t/>
        </is>
      </c>
      <c r="J8" s="9">
        <v>1020000</v>
      </c>
      <c r="K8" s="9">
        <v>1230596.35955249</v>
      </c>
      <c r="L8" s="9"/>
    </row>
    <row r="9">
      <c r="A9" s="7" t="inlineStr">
        <is>
          <t>2020</t>
        </is>
      </c>
      <c r="B9" s="9">
        <v>422000</v>
      </c>
      <c r="C9" s="9">
        <v>643000</v>
      </c>
      <c r="D9" s="9">
        <v>772000</v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>
        <v>772000</v>
      </c>
      <c r="K9" s="9">
        <v>1010209.02365576</v>
      </c>
      <c r="L9" s="9"/>
    </row>
    <row r="10">
      <c r="A10" s="7" t="inlineStr">
        <is>
          <t>2021</t>
        </is>
      </c>
      <c r="B10" s="9">
        <v>350000</v>
      </c>
      <c r="C10" s="9">
        <v>631000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>
        <v>631000</v>
      </c>
      <c r="K10" s="9">
        <v>987623.026275984</v>
      </c>
      <c r="L10" s="9"/>
    </row>
    <row r="11">
      <c r="A11" s="7" t="inlineStr">
        <is>
          <t>2022</t>
        </is>
      </c>
      <c r="B11" s="9">
        <v>350000</v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>
        <v>350000</v>
      </c>
      <c r="K11" s="9">
        <v>922138.126581204</v>
      </c>
      <c r="L11" s="9"/>
    </row>
    <row r="12">
      <c r="A12" s="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4">
      <c r="A14" s="7" t="inlineStr">
        <is>
          <t>Age-to-Age Factors</t>
        </is>
      </c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 t="inlineStr">
        <is>
          <t>24</t>
        </is>
      </c>
      <c r="C16" s="7" t="inlineStr">
        <is>
          <t>36</t>
        </is>
      </c>
      <c r="D16" s="7" t="inlineStr">
        <is>
          <t>48</t>
        </is>
      </c>
      <c r="E16" s="7" t="inlineStr">
        <is>
          <t>60</t>
        </is>
      </c>
      <c r="F16" s="7" t="inlineStr">
        <is>
          <t>72</t>
        </is>
      </c>
      <c r="G16" s="7" t="inlineStr">
        <is>
          <t>84</t>
        </is>
      </c>
      <c r="H16" s="7" t="inlineStr">
        <is>
          <t>96</t>
        </is>
      </c>
      <c r="I16" s="7"/>
    </row>
    <row r="17">
      <c r="A17" s="7" t="inlineStr">
        <is>
          <t>2015</t>
        </is>
      </c>
      <c r="B17" s="10">
        <v>1.49275362318841</v>
      </c>
      <c r="C17" s="10">
        <v>1.12378640776699</v>
      </c>
      <c r="D17" s="10">
        <v>0.939524838012959</v>
      </c>
      <c r="E17" s="10">
        <v>1.01149425287356</v>
      </c>
      <c r="F17" s="10">
        <v>1.01136363636364</v>
      </c>
      <c r="G17" s="10">
        <v>1.05168539325843</v>
      </c>
      <c r="H17" s="10">
        <v>1.0042735042735</v>
      </c>
      <c r="I17" s="10"/>
    </row>
    <row r="18">
      <c r="A18" s="7" t="inlineStr">
        <is>
          <t>2016</t>
        </is>
      </c>
      <c r="B18" s="10">
        <v>1.60815047021944</v>
      </c>
      <c r="C18" s="10">
        <v>1.11111111111111</v>
      </c>
      <c r="D18" s="10">
        <v>1.50526315789474</v>
      </c>
      <c r="E18" s="10">
        <v>1.0011655011655</v>
      </c>
      <c r="F18" s="10">
        <v>1.046565774156</v>
      </c>
      <c r="G18" s="10">
        <v>1.02780867630701</v>
      </c>
      <c r="H18" s="10" t="inlineStr">
        <is>
          <t/>
        </is>
      </c>
      <c r="I18" s="10"/>
    </row>
    <row r="19">
      <c r="A19" s="7" t="inlineStr">
        <is>
          <t>2017</t>
        </is>
      </c>
      <c r="B19" s="10">
        <v>1.30483271375465</v>
      </c>
      <c r="C19" s="10">
        <v>1.04985754985755</v>
      </c>
      <c r="D19" s="10">
        <v>1.03799185888738</v>
      </c>
      <c r="E19" s="10">
        <v>1.24183006535948</v>
      </c>
      <c r="F19" s="10">
        <v>1.05894736842105</v>
      </c>
      <c r="G19" s="10" t="inlineStr">
        <is>
          <t/>
        </is>
      </c>
      <c r="H19" s="10" t="inlineStr">
        <is>
          <t/>
        </is>
      </c>
      <c r="I19" s="10"/>
    </row>
    <row r="20">
      <c r="A20" s="7" t="inlineStr">
        <is>
          <t>2018</t>
        </is>
      </c>
      <c r="B20" s="10">
        <v>1.49609375</v>
      </c>
      <c r="C20" s="10">
        <v>1.07049608355091</v>
      </c>
      <c r="D20" s="10">
        <v>0.965853658536585</v>
      </c>
      <c r="E20" s="10">
        <v>1.01010101010101</v>
      </c>
      <c r="F20" s="10" t="inlineStr">
        <is>
          <t/>
        </is>
      </c>
      <c r="G20" s="10" t="inlineStr">
        <is>
          <t/>
        </is>
      </c>
      <c r="H20" s="10" t="inlineStr">
        <is>
          <t/>
        </is>
      </c>
      <c r="I20" s="10"/>
    </row>
    <row r="21">
      <c r="A21" s="7" t="inlineStr">
        <is>
          <t>2019</t>
        </is>
      </c>
      <c r="B21" s="10">
        <v>1.98034398034398</v>
      </c>
      <c r="C21" s="10">
        <v>1.2605459057072</v>
      </c>
      <c r="D21" s="10">
        <v>1.00393700787402</v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/>
    </row>
    <row r="22">
      <c r="A22" s="7" t="inlineStr">
        <is>
          <t>2020</t>
        </is>
      </c>
      <c r="B22" s="10">
        <v>1.52369668246445</v>
      </c>
      <c r="C22" s="10">
        <v>1.20062208398134</v>
      </c>
      <c r="D22" s="10" t="inlineStr">
        <is>
          <t/>
        </is>
      </c>
      <c r="E22" s="10" t="inlineStr">
        <is>
          <t/>
        </is>
      </c>
      <c r="F22" s="10" t="inlineStr">
        <is>
          <t/>
        </is>
      </c>
      <c r="G22" s="10" t="inlineStr">
        <is>
          <t/>
        </is>
      </c>
      <c r="H22" s="10" t="inlineStr">
        <is>
          <t/>
        </is>
      </c>
      <c r="I22" s="10"/>
    </row>
    <row r="23">
      <c r="A23" s="7" t="inlineStr">
        <is>
          <t>2021</t>
        </is>
      </c>
      <c r="B23" s="10">
        <v>1.80285714285714</v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/>
    </row>
    <row r="24">
      <c r="A24" s="7" t="inlineStr">
        <is>
          <t>2022</t>
        </is>
      </c>
      <c r="B24" s="10" t="inlineStr">
        <is>
          <t/>
        </is>
      </c>
      <c r="C24" s="10" t="inlineStr">
        <is>
          <t/>
        </is>
      </c>
      <c r="D24" s="10" t="inlineStr">
        <is>
          <t/>
        </is>
      </c>
      <c r="E24" s="10" t="inlineStr">
        <is>
          <t/>
        </is>
      </c>
      <c r="F24" s="10" t="inlineStr">
        <is>
          <t/>
        </is>
      </c>
      <c r="G24" s="10" t="inlineStr">
        <is>
          <t/>
        </is>
      </c>
      <c r="H24" s="10" t="inlineStr">
        <is>
          <t/>
        </is>
      </c>
      <c r="I24" s="10"/>
    </row>
    <row r="25">
      <c r="A25" s="7"/>
      <c r="B25" s="10"/>
      <c r="C25" s="10"/>
      <c r="D25" s="10"/>
      <c r="E25" s="10"/>
      <c r="F25" s="10"/>
      <c r="G25" s="10"/>
      <c r="H25" s="10"/>
      <c r="I25" s="10"/>
    </row>
    <row r="27">
      <c r="A27" s="7" t="inlineStr">
        <is>
          <t>Methods</t>
        </is>
      </c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 t="inlineStr">
        <is>
          <t>24</t>
        </is>
      </c>
      <c r="C29" s="7" t="inlineStr">
        <is>
          <t>36</t>
        </is>
      </c>
      <c r="D29" s="7" t="inlineStr">
        <is>
          <t>48</t>
        </is>
      </c>
      <c r="E29" s="7" t="inlineStr">
        <is>
          <t>60</t>
        </is>
      </c>
      <c r="F29" s="7" t="inlineStr">
        <is>
          <t>72</t>
        </is>
      </c>
      <c r="G29" s="7" t="inlineStr">
        <is>
          <t>84</t>
        </is>
      </c>
      <c r="H29" s="7" t="inlineStr">
        <is>
          <t>96</t>
        </is>
      </c>
      <c r="I29" s="7" t="inlineStr">
        <is>
          <t>V8</t>
        </is>
      </c>
      <c r="J29" s="7"/>
    </row>
    <row r="30">
      <c r="A30" s="7" t="inlineStr">
        <is>
          <t>Avg ex HiLo</t>
        </is>
      </c>
      <c r="B30" s="11">
        <v>1.58471033374589</v>
      </c>
      <c r="C30" s="11">
        <v>1.12650392160259</v>
      </c>
      <c r="D30" s="11">
        <v>1.00259417509933</v>
      </c>
      <c r="E30" s="11">
        <v>1.01079763148729</v>
      </c>
      <c r="F30" s="11">
        <v>1.046565774156</v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/>
    </row>
    <row r="31">
      <c r="A31" s="7" t="inlineStr">
        <is>
          <t>Wtd 4</t>
        </is>
      </c>
      <c r="B31" s="11">
        <v>1.71637630662021</v>
      </c>
      <c r="C31" s="11">
        <v>1.15824782951855</v>
      </c>
      <c r="D31" s="11">
        <v>1.11196487376509</v>
      </c>
      <c r="E31" s="11">
        <v>1.07946210268949</v>
      </c>
      <c r="F31" s="11" t="inlineStr">
        <is>
          <t/>
        </is>
      </c>
      <c r="G31" s="11" t="inlineStr">
        <is>
          <t/>
        </is>
      </c>
      <c r="H31" s="11" t="inlineStr">
        <is>
          <t/>
        </is>
      </c>
      <c r="I31" s="11" t="inlineStr">
        <is>
          <t/>
        </is>
      </c>
      <c r="J31" s="11"/>
    </row>
    <row r="32">
      <c r="A32" s="7" t="inlineStr">
        <is>
          <t>Wtd 2</t>
        </is>
      </c>
      <c r="B32" s="11">
        <v>1.65025906735751</v>
      </c>
      <c r="C32" s="11">
        <v>1.23395445134576</v>
      </c>
      <c r="D32" s="11">
        <v>0.992987377279102</v>
      </c>
      <c r="E32" s="11">
        <v>1.16279069767442</v>
      </c>
      <c r="F32" s="11">
        <v>1.0530679933665</v>
      </c>
      <c r="G32" s="11">
        <v>1.03571428571429</v>
      </c>
      <c r="H32" s="11" t="inlineStr">
        <is>
          <t/>
        </is>
      </c>
      <c r="I32" s="11" t="inlineStr">
        <is>
          <t/>
        </is>
      </c>
      <c r="J32" s="11"/>
    </row>
    <row r="33">
      <c r="A33" s="7" t="inlineStr">
        <is>
          <t>Wtd All</t>
        </is>
      </c>
      <c r="B33" s="11">
        <v>1.59267912772586</v>
      </c>
      <c r="C33" s="11">
        <v>1.1471523561723</v>
      </c>
      <c r="D33" s="11">
        <v>1.08698372966208</v>
      </c>
      <c r="E33" s="11">
        <v>1.07946210268949</v>
      </c>
      <c r="F33" s="11">
        <v>1.04490884837706</v>
      </c>
      <c r="G33" s="11">
        <v>1.03571428571429</v>
      </c>
      <c r="H33" s="11">
        <v>1.0042735042735</v>
      </c>
      <c r="I33" s="11" t="inlineStr">
        <is>
          <t/>
        </is>
      </c>
      <c r="J33" s="11"/>
    </row>
    <row r="34">
      <c r="A34" s="7" t="inlineStr">
        <is>
          <t>Sel Inc</t>
        </is>
      </c>
      <c r="B34" s="11">
        <v>1.68331768698886</v>
      </c>
      <c r="C34" s="11">
        <v>1.19610114043215</v>
      </c>
      <c r="D34" s="11">
        <v>1.08462219909865</v>
      </c>
      <c r="E34" s="11">
        <v>1.06229598488894</v>
      </c>
      <c r="F34" s="11">
        <v>1.04490884837706</v>
      </c>
      <c r="G34" s="11">
        <v>1.03571428571429</v>
      </c>
      <c r="H34" s="11">
        <v>1.0121336996337</v>
      </c>
      <c r="I34" s="11">
        <v>1.03684456530565</v>
      </c>
      <c r="J34" s="11"/>
    </row>
    <row r="35">
      <c r="A35" s="7" t="inlineStr">
        <is>
          <t>Sel Cum</t>
        </is>
      </c>
      <c r="B35" s="11">
        <v>2.63468036166058</v>
      </c>
      <c r="C35" s="11">
        <v>1.56517119853563</v>
      </c>
      <c r="D35" s="11">
        <v>1.30856091147119</v>
      </c>
      <c r="E35" s="11">
        <v>1.20646701916911</v>
      </c>
      <c r="F35" s="11">
        <v>1.13571644469243</v>
      </c>
      <c r="G35" s="11">
        <v>1.08690480175033</v>
      </c>
      <c r="H35" s="11">
        <v>1.04942532582791</v>
      </c>
      <c r="I35" s="11">
        <v>1.03684456530565</v>
      </c>
      <c r="J35" s="11"/>
    </row>
    <row r="36">
      <c r="A36" s="7"/>
      <c r="B36" s="11"/>
      <c r="C36" s="11"/>
      <c r="D36" s="11"/>
      <c r="E36" s="11"/>
      <c r="F36" s="11"/>
      <c r="G36" s="11"/>
      <c r="H36" s="11"/>
      <c r="I36" s="11"/>
      <c r="J36" s="11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:C12"/>
  <sheetViews>
    <sheetView showGridLines="1" showRowColHeaders="1" tabSelected="0" workbookViewId="0" zoomScale="100"/>
  </sheetViews>
  <sheetFormatPr baseColWidth="8" defaultRowHeight="16" x14ac:dyDescent="0.2"/>
  <cols>
    <col min="1" max="3" bestFit="1" customWidth="1" hidden="false" width="12.711"/>
  </cols>
  <sheetData>
    <row r="1">
      <c r="A1" s="7" t="inlineStr">
        <is>
          <t>Notes</t>
        </is>
      </c>
      <c r="B1" s="7"/>
      <c r="C1" s="7"/>
    </row>
    <row r="2">
      <c r="A2" s="7"/>
      <c r="B2" s="7"/>
      <c r="C2" s="7"/>
    </row>
    <row r="3">
      <c r="A3" s="7"/>
      <c r="B3" s="7" t="inlineStr">
        <is>
          <t>note</t>
        </is>
      </c>
      <c r="C3" s="7"/>
    </row>
    <row r="4">
      <c r="A4" s="7" t="inlineStr">
        <is>
          <t>1</t>
        </is>
      </c>
      <c r="B4" s="12" t="inlineStr">
        <is>
          <t>I'm relying on the chain ladder method for this review.</t>
        </is>
      </c>
      <c r="C4" s="12"/>
    </row>
    <row r="5">
      <c r="A5" s="7" t="inlineStr">
        <is>
          <t>2</t>
        </is>
      </c>
      <c r="B5" s="12" t="inlineStr">
        <is>
          <t>I'm not sure what the basis is, whether it's paid or reported, etc.</t>
        </is>
      </c>
      <c r="C5" s="12"/>
    </row>
    <row r="6">
      <c r="A6" s="7" t="inlineStr">
        <is>
          <t>3</t>
        </is>
      </c>
      <c r="B6" s="12" t="inlineStr">
        <is>
          <t>But I'm relying on it because it's the only data that I have.</t>
        </is>
      </c>
      <c r="C6" s="12"/>
    </row>
    <row r="7">
      <c r="A7" s="7" t="inlineStr">
        <is>
          <t>4</t>
        </is>
      </c>
      <c r="B7" s="12" t="inlineStr">
        <is>
          <t>It would be difficult to use an a priori, BF-type, or additive-type method since we don't have exposure.</t>
        </is>
      </c>
      <c r="C7" s="12"/>
    </row>
    <row r="8">
      <c r="A8" s="7" t="inlineStr">
        <is>
          <t>5</t>
        </is>
      </c>
      <c r="B8" s="12" t="inlineStr">
        <is>
          <t>I think we should request some count and/or exposure data.</t>
        </is>
      </c>
      <c r="C8" s="12"/>
    </row>
    <row r="9">
      <c r="A9" s="7" t="inlineStr">
        <is>
          <t>6</t>
        </is>
      </c>
      <c r="B9" s="12" t="inlineStr">
        <is>
          <t>Are there good benchmarks available?</t>
        </is>
      </c>
      <c r="C9" s="12"/>
    </row>
    <row r="10">
      <c r="A10" s="7" t="inlineStr">
        <is>
          <t>7</t>
        </is>
      </c>
      <c r="B10" s="12" t="inlineStr">
        <is>
          <t>Do we have a sense of what a reasonable tail factor selection would be? I applied a judgmental selection for 96-ultimate.</t>
        </is>
      </c>
      <c r="C10" s="12"/>
    </row>
    <row r="11">
      <c r="A11" s="7" t="inlineStr">
        <is>
          <t>8</t>
        </is>
      </c>
      <c r="B11" s="12" t="inlineStr">
        <is>
          <t>Are we sure that AY 2022 @12 = AY 2021 @12?</t>
        </is>
      </c>
      <c r="C11" s="12"/>
    </row>
    <row r="12">
      <c r="A12" s="7"/>
      <c r="B12" s="12"/>
      <c r="C12" s="1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E8"/>
  <sheetViews>
    <sheetView showGridLines="1" showRowColHeaders="1" tabSelected="0" workbookViewId="0" zoomScale="100"/>
  </sheetViews>
  <sheetFormatPr baseColWidth="8" defaultRowHeight="16" x14ac:dyDescent="0.2"/>
  <cols>
    <col min="1" max="5" bestFit="1" customWidth="1" hidden="false" width="12.711"/>
  </cols>
  <sheetData>
    <row r="1">
      <c r="A1" s="7" t="inlineStr">
        <is>
          <t>maybe missing claims</t>
        </is>
      </c>
      <c r="B1" s="7"/>
      <c r="C1" s="15"/>
      <c r="D1" s="15"/>
      <c r="E1" s="16"/>
    </row>
    <row r="2">
      <c r="A2" t="inlineStr">
        <is>
          <t>could be non-sequential claim numbers, CWP/dormant claims removed, portfolio/segmentation change, error correction, something else</t>
        </is>
      </c>
      <c r="C2" s="16"/>
      <c r="D2" s="16"/>
      <c r="E2" s="16"/>
    </row>
    <row r="3">
      <c r="C3" s="16"/>
      <c r="D3" s="16"/>
      <c r="E3" s="16"/>
    </row>
    <row r="4">
      <c r="C4" s="16"/>
      <c r="D4" s="16"/>
      <c r="E4" s="16"/>
    </row>
    <row r="5">
      <c r="A5" s="7"/>
      <c r="B5" s="14" t="inlineStr">
        <is>
          <t>claim_num.x</t>
        </is>
      </c>
      <c r="C5" s="17" t="inlineStr">
        <is>
          <t>source.x</t>
        </is>
      </c>
      <c r="D5" s="17"/>
      <c r="E5" s="16"/>
    </row>
    <row r="6">
      <c r="A6" s="7" t="inlineStr">
        <is>
          <t>10</t>
        </is>
      </c>
      <c r="B6" s="13" t="inlineStr">
        <is>
          <t>A0010</t>
        </is>
      </c>
      <c r="C6" s="18" t="inlineStr">
        <is>
          <t>ex1_curr</t>
        </is>
      </c>
      <c r="D6" s="18"/>
      <c r="E6" s="16"/>
    </row>
    <row r="7">
      <c r="C7" s="16"/>
      <c r="D7" s="16"/>
      <c r="E7" s="16"/>
    </row>
    <row r="8">
      <c r="C8" s="16"/>
      <c r="D8" s="16"/>
      <c r="E8" s="16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L8"/>
  <sheetViews>
    <sheetView showGridLines="1" showRowColHeaders="1" tabSelected="0" workbookViewId="0" zoomScale="100"/>
  </sheetViews>
  <sheetFormatPr baseColWidth="8" defaultRowHeight="16" x14ac:dyDescent="0.2"/>
  <cols>
    <col min="1" max="12" bestFit="1" customWidth="1" hidden="false" width="12.711"/>
  </cols>
  <sheetData>
    <row r="1">
      <c r="A1" s="7" t="inlineStr">
        <is>
          <t>closure flag vs case</t>
        </is>
      </c>
      <c r="B1" s="27"/>
      <c r="C1" s="23"/>
      <c r="D1" s="23"/>
      <c r="E1" s="31"/>
      <c r="F1" s="27"/>
      <c r="G1" s="7"/>
      <c r="H1" s="7"/>
      <c r="I1" s="27"/>
      <c r="J1" s="27"/>
      <c r="K1" s="7"/>
      <c r="L1" s="7"/>
    </row>
    <row r="2">
      <c r="A2" t="inlineStr">
        <is>
          <t>could be something about claims process, timing issue, closure being defined at a different level of aggregation than the claim, something else</t>
        </is>
      </c>
      <c r="B2" s="28"/>
      <c r="C2" s="24"/>
      <c r="D2" s="24"/>
      <c r="E2" s="32"/>
      <c r="F2" s="28"/>
      <c r="I2" s="28"/>
      <c r="J2" s="28"/>
    </row>
    <row r="3">
      <c r="B3" s="28"/>
      <c r="C3" s="24"/>
      <c r="D3" s="24"/>
      <c r="E3" s="32"/>
      <c r="F3" s="28"/>
      <c r="I3" s="28"/>
      <c r="J3" s="28"/>
    </row>
    <row r="4">
      <c r="B4" s="28"/>
      <c r="C4" s="24"/>
      <c r="D4" s="24"/>
      <c r="E4" s="32"/>
      <c r="F4" s="28"/>
      <c r="I4" s="28"/>
      <c r="J4" s="28"/>
    </row>
    <row r="5">
      <c r="A5" s="7"/>
      <c r="B5" s="29" t="inlineStr">
        <is>
          <t>claim_num</t>
        </is>
      </c>
      <c r="C5" s="25" t="inlineStr">
        <is>
          <t>acc_date</t>
        </is>
      </c>
      <c r="D5" s="25" t="inlineStr">
        <is>
          <t>rep_date</t>
        </is>
      </c>
      <c r="E5" s="33" t="inlineStr">
        <is>
          <t>clsd_date</t>
        </is>
      </c>
      <c r="F5" s="29" t="inlineStr">
        <is>
          <t>claim_status</t>
        </is>
      </c>
      <c r="G5" s="22" t="inlineStr">
        <is>
          <t>rep_loss</t>
        </is>
      </c>
      <c r="H5" s="22" t="inlineStr">
        <is>
          <t>pd_loss</t>
        </is>
      </c>
      <c r="I5" s="29" t="inlineStr">
        <is>
          <t>case_loss</t>
        </is>
      </c>
      <c r="J5" s="29" t="inlineStr">
        <is>
          <t>source</t>
        </is>
      </c>
      <c r="K5" s="22" t="inlineStr">
        <is>
          <t>zero_case</t>
        </is>
      </c>
      <c r="L5" s="22"/>
    </row>
    <row r="6">
      <c r="A6" s="7" t="inlineStr">
        <is>
          <t>10</t>
        </is>
      </c>
      <c r="B6" s="30" t="inlineStr">
        <is>
          <t>A0011</t>
        </is>
      </c>
      <c r="C6" s="26">
        <v>44330</v>
      </c>
      <c r="D6" s="26">
        <v>44853</v>
      </c>
      <c r="E6" s="34">
        <v>44897</v>
      </c>
      <c r="F6" s="30" t="inlineStr">
        <is>
          <t>Closed</t>
        </is>
      </c>
      <c r="G6" s="20">
        <v>62968</v>
      </c>
      <c r="H6" s="20">
        <v>61968</v>
      </c>
      <c r="I6" s="30">
        <v>1000</v>
      </c>
      <c r="J6" s="30" t="inlineStr">
        <is>
          <t>ex1_curr</t>
        </is>
      </c>
      <c r="K6" s="20" t="b">
        <v>0</v>
      </c>
      <c r="L6" s="20"/>
    </row>
    <row r="7">
      <c r="B7" s="28"/>
      <c r="C7" s="24"/>
      <c r="D7" s="24"/>
      <c r="E7" s="32"/>
      <c r="F7" s="28"/>
      <c r="I7" s="28"/>
      <c r="J7" s="28"/>
    </row>
    <row r="8">
      <c r="B8" s="28"/>
      <c r="C8" s="24"/>
      <c r="D8" s="24"/>
      <c r="E8" s="32"/>
      <c r="F8" s="28"/>
      <c r="I8" s="28"/>
      <c r="J8" s="28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K8"/>
  <sheetViews>
    <sheetView showGridLines="1" showRowColHeaders="1" tabSelected="0" workbookViewId="0" zoomScale="100"/>
  </sheetViews>
  <sheetFormatPr baseColWidth="8" defaultRowHeight="16" x14ac:dyDescent="0.2"/>
  <cols>
    <col min="1" max="11" bestFit="1" customWidth="1" hidden="false" width="12.711"/>
  </cols>
  <sheetData>
    <row r="1">
      <c r="A1" s="7" t="inlineStr">
        <is>
          <t>paid+case vs rptd</t>
        </is>
      </c>
      <c r="B1" s="27"/>
      <c r="C1" s="38"/>
      <c r="D1" s="38"/>
      <c r="E1" s="38"/>
      <c r="F1" s="7"/>
      <c r="G1" s="27"/>
      <c r="H1" s="27"/>
      <c r="I1" s="27"/>
      <c r="J1" s="27"/>
      <c r="K1" s="7"/>
    </row>
    <row r="2">
      <c r="A2" t="inlineStr">
        <is>
          <t>could be recoveries, expenses, something else</t>
        </is>
      </c>
      <c r="B2" s="28"/>
      <c r="C2" s="39"/>
      <c r="D2" s="39"/>
      <c r="E2" s="39"/>
      <c r="G2" s="28"/>
      <c r="H2" s="28"/>
      <c r="I2" s="28"/>
      <c r="J2" s="28"/>
    </row>
    <row r="3">
      <c r="B3" s="28"/>
      <c r="C3" s="39"/>
      <c r="D3" s="39"/>
      <c r="E3" s="39"/>
      <c r="G3" s="28"/>
      <c r="H3" s="28"/>
      <c r="I3" s="28"/>
      <c r="J3" s="28"/>
    </row>
    <row r="4">
      <c r="B4" s="28"/>
      <c r="C4" s="39"/>
      <c r="D4" s="39"/>
      <c r="E4" s="39"/>
      <c r="G4" s="28"/>
      <c r="H4" s="28"/>
      <c r="I4" s="28"/>
      <c r="J4" s="28"/>
    </row>
    <row r="5">
      <c r="A5" s="7"/>
      <c r="B5" s="42" t="inlineStr">
        <is>
          <t>claim_num</t>
        </is>
      </c>
      <c r="C5" s="40" t="inlineStr">
        <is>
          <t>acc_date</t>
        </is>
      </c>
      <c r="D5" s="40" t="inlineStr">
        <is>
          <t>rep_date</t>
        </is>
      </c>
      <c r="E5" s="40" t="inlineStr">
        <is>
          <t>clsd_date</t>
        </is>
      </c>
      <c r="F5" s="37" t="inlineStr">
        <is>
          <t>claim_status</t>
        </is>
      </c>
      <c r="G5" s="42" t="inlineStr">
        <is>
          <t>rep_loss</t>
        </is>
      </c>
      <c r="H5" s="42" t="inlineStr">
        <is>
          <t>pd_loss</t>
        </is>
      </c>
      <c r="I5" s="42" t="inlineStr">
        <is>
          <t>case_loss</t>
        </is>
      </c>
      <c r="J5" s="42" t="inlineStr">
        <is>
          <t>source</t>
        </is>
      </c>
      <c r="K5" s="37"/>
    </row>
    <row r="6">
      <c r="A6" s="7" t="inlineStr">
        <is>
          <t>3</t>
        </is>
      </c>
      <c r="B6" s="43" t="inlineStr">
        <is>
          <t>A0003</t>
        </is>
      </c>
      <c r="C6" s="41">
        <v>43704</v>
      </c>
      <c r="D6" s="41">
        <v>44109</v>
      </c>
      <c r="E6" s="41" t="inlineStr">
        <is>
          <t/>
        </is>
      </c>
      <c r="F6" s="35" t="inlineStr">
        <is>
          <t>Open</t>
        </is>
      </c>
      <c r="G6" s="43">
        <v>86564</v>
      </c>
      <c r="H6" s="43">
        <v>78926</v>
      </c>
      <c r="I6" s="43">
        <v>8638</v>
      </c>
      <c r="J6" s="43" t="inlineStr">
        <is>
          <t>ex1_curr</t>
        </is>
      </c>
      <c r="K6" s="35"/>
    </row>
    <row r="7">
      <c r="B7" s="28"/>
      <c r="C7" s="39"/>
      <c r="D7" s="39"/>
      <c r="E7" s="39"/>
      <c r="G7" s="28"/>
      <c r="H7" s="28"/>
      <c r="I7" s="28"/>
      <c r="J7" s="28"/>
    </row>
    <row r="8">
      <c r="B8" s="28"/>
      <c r="C8" s="39"/>
      <c r="D8" s="39"/>
      <c r="E8" s="39"/>
      <c r="G8" s="28"/>
      <c r="H8" s="28"/>
      <c r="I8" s="28"/>
      <c r="J8" s="28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T9"/>
  <sheetViews>
    <sheetView showGridLines="1" showRowColHeaders="1" tabSelected="0" workbookViewId="0" zoomScale="100"/>
  </sheetViews>
  <sheetFormatPr baseColWidth="8" defaultRowHeight="16" x14ac:dyDescent="0.2"/>
  <cols>
    <col min="1" max="20" bestFit="1" customWidth="1" hidden="false" width="12.711"/>
  </cols>
  <sheetData>
    <row r="1">
      <c r="A1" s="7" t="inlineStr">
        <is>
          <t>paid decreased</t>
        </is>
      </c>
      <c r="B1" s="27"/>
      <c r="C1" s="47"/>
      <c r="D1" s="47"/>
      <c r="E1" s="47"/>
      <c r="F1" s="7"/>
      <c r="G1" s="7"/>
      <c r="H1" s="27"/>
      <c r="I1" s="7"/>
      <c r="J1" s="27"/>
      <c r="K1" s="27"/>
      <c r="L1" s="51"/>
      <c r="M1" s="51"/>
      <c r="N1" s="51"/>
      <c r="O1" s="7"/>
      <c r="P1" s="7"/>
      <c r="Q1" s="27"/>
      <c r="R1" s="7"/>
      <c r="S1" s="27"/>
      <c r="T1" s="7"/>
    </row>
    <row r="2">
      <c r="A2" t="inlineStr">
        <is>
          <t>could be recoveries, something else</t>
        </is>
      </c>
      <c r="B2" s="28"/>
      <c r="C2" s="48"/>
      <c r="D2" s="48"/>
      <c r="E2" s="48"/>
      <c r="H2" s="28"/>
      <c r="J2" s="28"/>
      <c r="K2" s="28"/>
      <c r="L2" s="52"/>
      <c r="M2" s="52"/>
      <c r="N2" s="52"/>
      <c r="Q2" s="28"/>
      <c r="S2" s="28"/>
    </row>
    <row r="3">
      <c r="B3" s="28"/>
      <c r="C3" s="48"/>
      <c r="D3" s="48"/>
      <c r="E3" s="48"/>
      <c r="H3" s="28"/>
      <c r="J3" s="28"/>
      <c r="K3" s="28"/>
      <c r="L3" s="52"/>
      <c r="M3" s="52"/>
      <c r="N3" s="52"/>
      <c r="Q3" s="28"/>
      <c r="S3" s="28"/>
    </row>
    <row r="4">
      <c r="B4" s="28"/>
      <c r="C4" s="48"/>
      <c r="D4" s="48"/>
      <c r="E4" s="48"/>
      <c r="H4" s="28"/>
      <c r="J4" s="28"/>
      <c r="K4" s="28"/>
      <c r="L4" s="52"/>
      <c r="M4" s="52"/>
      <c r="N4" s="52"/>
      <c r="Q4" s="28"/>
      <c r="S4" s="28"/>
    </row>
    <row r="5">
      <c r="A5" s="7"/>
      <c r="B5" s="55" t="inlineStr">
        <is>
          <t>claim_num.current</t>
        </is>
      </c>
      <c r="C5" s="49" t="inlineStr">
        <is>
          <t>acc_date.current</t>
        </is>
      </c>
      <c r="D5" s="49" t="inlineStr">
        <is>
          <t>rep_date.current</t>
        </is>
      </c>
      <c r="E5" s="49" t="inlineStr">
        <is>
          <t>clsd_date.current</t>
        </is>
      </c>
      <c r="F5" s="46" t="inlineStr">
        <is>
          <t>claim_status.current</t>
        </is>
      </c>
      <c r="G5" s="46" t="inlineStr">
        <is>
          <t>rep_loss.current</t>
        </is>
      </c>
      <c r="H5" s="55" t="inlineStr">
        <is>
          <t>pd_loss.current</t>
        </is>
      </c>
      <c r="I5" s="46" t="inlineStr">
        <is>
          <t>case_loss.current</t>
        </is>
      </c>
      <c r="J5" s="55" t="inlineStr">
        <is>
          <t>source.current</t>
        </is>
      </c>
      <c r="K5" s="55" t="inlineStr">
        <is>
          <t>claim_num.prior</t>
        </is>
      </c>
      <c r="L5" s="53" t="inlineStr">
        <is>
          <t>acc_date.prior</t>
        </is>
      </c>
      <c r="M5" s="53" t="inlineStr">
        <is>
          <t>rep_date.prior</t>
        </is>
      </c>
      <c r="N5" s="53" t="inlineStr">
        <is>
          <t>clsd_date.prior</t>
        </is>
      </c>
      <c r="O5" s="46" t="inlineStr">
        <is>
          <t>claim_status.prior</t>
        </is>
      </c>
      <c r="P5" s="46" t="inlineStr">
        <is>
          <t>rep_loss.prior</t>
        </is>
      </c>
      <c r="Q5" s="55" t="inlineStr">
        <is>
          <t>pd_loss.prior</t>
        </is>
      </c>
      <c r="R5" s="46" t="inlineStr">
        <is>
          <t>case_loss.prior</t>
        </is>
      </c>
      <c r="S5" s="55" t="inlineStr">
        <is>
          <t>source.prior</t>
        </is>
      </c>
      <c r="T5" s="46"/>
    </row>
    <row r="6">
      <c r="A6" s="7" t="inlineStr">
        <is>
          <t>1</t>
        </is>
      </c>
      <c r="B6" s="56" t="inlineStr">
        <is>
          <t>A0001</t>
        </is>
      </c>
      <c r="C6" s="50">
        <v>43499</v>
      </c>
      <c r="D6" s="50">
        <v>43617</v>
      </c>
      <c r="E6" s="50">
        <v>44217</v>
      </c>
      <c r="F6" s="44" t="inlineStr">
        <is>
          <t>Closed</t>
        </is>
      </c>
      <c r="G6" s="44">
        <v>72568</v>
      </c>
      <c r="H6" s="56">
        <v>72568</v>
      </c>
      <c r="I6" s="44">
        <v>0</v>
      </c>
      <c r="J6" s="56" t="inlineStr">
        <is>
          <t>ex1_curr</t>
        </is>
      </c>
      <c r="K6" s="56" t="inlineStr">
        <is>
          <t>A0001</t>
        </is>
      </c>
      <c r="L6" s="54">
        <v>43499</v>
      </c>
      <c r="M6" s="54">
        <v>43617</v>
      </c>
      <c r="N6" s="54">
        <v>44217</v>
      </c>
      <c r="O6" s="44" t="inlineStr">
        <is>
          <t>Closed</t>
        </is>
      </c>
      <c r="P6" s="44">
        <v>74570</v>
      </c>
      <c r="Q6" s="56">
        <v>74570</v>
      </c>
      <c r="R6" s="44">
        <v>0</v>
      </c>
      <c r="S6" s="56" t="inlineStr">
        <is>
          <t>ex1_prior</t>
        </is>
      </c>
      <c r="T6" s="44"/>
    </row>
    <row r="7">
      <c r="A7" s="7" t="inlineStr">
        <is>
          <t>8</t>
        </is>
      </c>
      <c r="B7" s="56" t="inlineStr">
        <is>
          <t>A0008</t>
        </is>
      </c>
      <c r="C7" s="50">
        <v>44203</v>
      </c>
      <c r="D7" s="50">
        <v>44245</v>
      </c>
      <c r="E7" s="50" t="inlineStr">
        <is>
          <t/>
        </is>
      </c>
      <c r="F7" s="44" t="inlineStr">
        <is>
          <t>Open</t>
        </is>
      </c>
      <c r="G7" s="44">
        <v>78300</v>
      </c>
      <c r="H7" s="56">
        <v>23792</v>
      </c>
      <c r="I7" s="44">
        <v>54508</v>
      </c>
      <c r="J7" s="56" t="inlineStr">
        <is>
          <t>ex1_curr</t>
        </is>
      </c>
      <c r="K7" s="56" t="inlineStr">
        <is>
          <t>A0008</t>
        </is>
      </c>
      <c r="L7" s="54">
        <v>44203</v>
      </c>
      <c r="M7" s="54">
        <v>44245</v>
      </c>
      <c r="N7" s="54" t="inlineStr">
        <is>
          <t/>
        </is>
      </c>
      <c r="O7" s="44" t="inlineStr">
        <is>
          <t>Open</t>
        </is>
      </c>
      <c r="P7" s="44">
        <v>78300</v>
      </c>
      <c r="Q7" s="56">
        <v>25792</v>
      </c>
      <c r="R7" s="44">
        <v>52508</v>
      </c>
      <c r="S7" s="56" t="inlineStr">
        <is>
          <t>ex1_prior</t>
        </is>
      </c>
      <c r="T7" s="44"/>
    </row>
    <row r="8">
      <c r="B8" s="28"/>
      <c r="C8" s="48"/>
      <c r="D8" s="48"/>
      <c r="E8" s="48"/>
      <c r="H8" s="28"/>
      <c r="J8" s="28"/>
      <c r="K8" s="28"/>
      <c r="L8" s="52"/>
      <c r="M8" s="52"/>
      <c r="N8" s="52"/>
      <c r="Q8" s="28"/>
      <c r="S8" s="28"/>
    </row>
    <row r="9">
      <c r="B9" s="28"/>
      <c r="C9" s="48"/>
      <c r="D9" s="48"/>
      <c r="E9" s="48"/>
      <c r="H9" s="28"/>
      <c r="J9" s="28"/>
      <c r="K9" s="28"/>
      <c r="L9" s="52"/>
      <c r="M9" s="52"/>
      <c r="N9" s="52"/>
      <c r="Q9" s="28"/>
      <c r="S9" s="28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T8"/>
  <sheetViews>
    <sheetView showGridLines="1" showRowColHeaders="1" tabSelected="0" workbookViewId="0" zoomScale="100"/>
  </sheetViews>
  <sheetFormatPr baseColWidth="8" defaultRowHeight="16" x14ac:dyDescent="0.2"/>
  <cols>
    <col min="1" max="20" bestFit="1" customWidth="1" hidden="false" width="12.711"/>
  </cols>
  <sheetData>
    <row r="1">
      <c r="A1" s="7" t="inlineStr">
        <is>
          <t>loss or report date changed</t>
        </is>
      </c>
      <c r="B1" s="27"/>
      <c r="C1" s="70"/>
      <c r="D1" s="70"/>
      <c r="E1" s="60"/>
      <c r="F1" s="7"/>
      <c r="G1" s="7"/>
      <c r="H1" s="7"/>
      <c r="I1" s="7"/>
      <c r="J1" s="27"/>
      <c r="K1" s="27"/>
      <c r="L1" s="74"/>
      <c r="M1" s="74"/>
      <c r="N1" s="64"/>
      <c r="O1" s="7"/>
      <c r="P1" s="7"/>
      <c r="Q1" s="7"/>
      <c r="R1" s="7"/>
      <c r="S1" s="27"/>
      <c r="T1" s="7"/>
    </row>
    <row r="2">
      <c r="A2" t="inlineStr">
        <is>
          <t>could be error correction, reopen, something else</t>
        </is>
      </c>
      <c r="B2" s="28"/>
      <c r="C2" s="71"/>
      <c r="D2" s="71"/>
      <c r="E2" s="61"/>
      <c r="J2" s="28"/>
      <c r="K2" s="28"/>
      <c r="L2" s="75"/>
      <c r="M2" s="75"/>
      <c r="N2" s="65"/>
      <c r="S2" s="28"/>
    </row>
    <row r="3">
      <c r="B3" s="28"/>
      <c r="C3" s="71"/>
      <c r="D3" s="71"/>
      <c r="E3" s="61"/>
      <c r="J3" s="28"/>
      <c r="K3" s="28"/>
      <c r="L3" s="75"/>
      <c r="M3" s="75"/>
      <c r="N3" s="65"/>
      <c r="S3" s="28"/>
    </row>
    <row r="4">
      <c r="B4" s="28"/>
      <c r="C4" s="71"/>
      <c r="D4" s="71"/>
      <c r="E4" s="61"/>
      <c r="J4" s="28"/>
      <c r="K4" s="28"/>
      <c r="L4" s="75"/>
      <c r="M4" s="75"/>
      <c r="N4" s="65"/>
      <c r="S4" s="28"/>
    </row>
    <row r="5">
      <c r="A5" s="7"/>
      <c r="B5" s="68" t="inlineStr">
        <is>
          <t>claim_num.current</t>
        </is>
      </c>
      <c r="C5" s="72" t="inlineStr">
        <is>
          <t>acc_date.current</t>
        </is>
      </c>
      <c r="D5" s="72" t="inlineStr">
        <is>
          <t>rep_date.current</t>
        </is>
      </c>
      <c r="E5" s="62" t="inlineStr">
        <is>
          <t>clsd_date.current</t>
        </is>
      </c>
      <c r="F5" s="59" t="inlineStr">
        <is>
          <t>claim_status.current</t>
        </is>
      </c>
      <c r="G5" s="59" t="inlineStr">
        <is>
          <t>rep_loss.current</t>
        </is>
      </c>
      <c r="H5" s="59" t="inlineStr">
        <is>
          <t>pd_loss.current</t>
        </is>
      </c>
      <c r="I5" s="59" t="inlineStr">
        <is>
          <t>case_loss.current</t>
        </is>
      </c>
      <c r="J5" s="68" t="inlineStr">
        <is>
          <t>source.current</t>
        </is>
      </c>
      <c r="K5" s="68" t="inlineStr">
        <is>
          <t>claim_num.prior</t>
        </is>
      </c>
      <c r="L5" s="76" t="inlineStr">
        <is>
          <t>acc_date.prior</t>
        </is>
      </c>
      <c r="M5" s="76" t="inlineStr">
        <is>
          <t>rep_date.prior</t>
        </is>
      </c>
      <c r="N5" s="66" t="inlineStr">
        <is>
          <t>clsd_date.prior</t>
        </is>
      </c>
      <c r="O5" s="59" t="inlineStr">
        <is>
          <t>claim_status.prior</t>
        </is>
      </c>
      <c r="P5" s="59" t="inlineStr">
        <is>
          <t>rep_loss.prior</t>
        </is>
      </c>
      <c r="Q5" s="59" t="inlineStr">
        <is>
          <t>pd_loss.prior</t>
        </is>
      </c>
      <c r="R5" s="59" t="inlineStr">
        <is>
          <t>case_loss.prior</t>
        </is>
      </c>
      <c r="S5" s="68" t="inlineStr">
        <is>
          <t>source.prior</t>
        </is>
      </c>
      <c r="T5" s="59"/>
    </row>
    <row r="6">
      <c r="A6" s="7" t="inlineStr">
        <is>
          <t>7</t>
        </is>
      </c>
      <c r="B6" s="69" t="inlineStr">
        <is>
          <t>A0007</t>
        </is>
      </c>
      <c r="C6" s="73">
        <v>44064</v>
      </c>
      <c r="D6" s="73">
        <v>44745</v>
      </c>
      <c r="E6" s="63">
        <v>44757</v>
      </c>
      <c r="F6" s="57" t="inlineStr">
        <is>
          <t>Closed</t>
        </is>
      </c>
      <c r="G6" s="57">
        <v>7843</v>
      </c>
      <c r="H6" s="57">
        <v>7843</v>
      </c>
      <c r="I6" s="57">
        <v>0</v>
      </c>
      <c r="J6" s="69" t="inlineStr">
        <is>
          <t>ex1_curr</t>
        </is>
      </c>
      <c r="K6" s="69" t="inlineStr">
        <is>
          <t>A0007</t>
        </is>
      </c>
      <c r="L6" s="77">
        <v>44054</v>
      </c>
      <c r="M6" s="77">
        <v>44745</v>
      </c>
      <c r="N6" s="67">
        <v>44757</v>
      </c>
      <c r="O6" s="57" t="inlineStr">
        <is>
          <t>Closed</t>
        </is>
      </c>
      <c r="P6" s="57">
        <v>7843</v>
      </c>
      <c r="Q6" s="57">
        <v>7843</v>
      </c>
      <c r="R6" s="57">
        <v>0</v>
      </c>
      <c r="S6" s="69" t="inlineStr">
        <is>
          <t>ex1_prior</t>
        </is>
      </c>
      <c r="T6" s="57"/>
    </row>
    <row r="7">
      <c r="B7" s="28"/>
      <c r="C7" s="71"/>
      <c r="D7" s="71"/>
      <c r="E7" s="61"/>
      <c r="J7" s="28"/>
      <c r="K7" s="28"/>
      <c r="L7" s="75"/>
      <c r="M7" s="75"/>
      <c r="N7" s="65"/>
      <c r="S7" s="28"/>
    </row>
    <row r="8">
      <c r="B8" s="28"/>
      <c r="C8" s="71"/>
      <c r="D8" s="71"/>
      <c r="E8" s="61"/>
      <c r="J8" s="28"/>
      <c r="K8" s="28"/>
      <c r="L8" s="75"/>
      <c r="M8" s="75"/>
      <c r="N8" s="65"/>
      <c r="S8" s="28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T8"/>
  <sheetViews>
    <sheetView showGridLines="1" showRowColHeaders="1" tabSelected="0" workbookViewId="0" zoomScale="100"/>
  </sheetViews>
  <sheetFormatPr baseColWidth="8" defaultRowHeight="16" x14ac:dyDescent="0.2"/>
  <cols>
    <col min="1" max="20" bestFit="1" customWidth="1" hidden="false" width="12.711"/>
  </cols>
  <sheetData>
    <row r="1">
      <c r="A1" s="7" t="inlineStr">
        <is>
          <t>claim number disappeared</t>
        </is>
      </c>
      <c r="B1" s="27"/>
      <c r="C1" s="81"/>
      <c r="D1" s="81"/>
      <c r="E1" s="81"/>
      <c r="F1" s="7"/>
      <c r="G1" s="7"/>
      <c r="H1" s="7"/>
      <c r="I1" s="7"/>
      <c r="J1" s="27"/>
      <c r="K1" s="27"/>
      <c r="L1" s="85"/>
      <c r="M1" s="85"/>
      <c r="N1" s="85"/>
      <c r="O1" s="7"/>
      <c r="P1" s="7"/>
      <c r="Q1" s="7"/>
      <c r="R1" s="7"/>
      <c r="S1" s="27"/>
      <c r="T1" s="7"/>
    </row>
    <row r="2">
      <c r="A2" t="inlineStr">
        <is>
          <t>could be non-sequential claim numbers, CWP/dormant claims removed, portfolio/segmentation change, error correction, rolling time window, something else</t>
        </is>
      </c>
      <c r="B2" s="28"/>
      <c r="C2" s="82"/>
      <c r="D2" s="82"/>
      <c r="E2" s="82"/>
      <c r="J2" s="28"/>
      <c r="K2" s="28"/>
      <c r="L2" s="86"/>
      <c r="M2" s="86"/>
      <c r="N2" s="86"/>
      <c r="S2" s="28"/>
    </row>
    <row r="3">
      <c r="B3" s="28"/>
      <c r="C3" s="82"/>
      <c r="D3" s="82"/>
      <c r="E3" s="82"/>
      <c r="J3" s="28"/>
      <c r="K3" s="28"/>
      <c r="L3" s="86"/>
      <c r="M3" s="86"/>
      <c r="N3" s="86"/>
      <c r="S3" s="28"/>
    </row>
    <row r="4">
      <c r="B4" s="28"/>
      <c r="C4" s="82"/>
      <c r="D4" s="82"/>
      <c r="E4" s="82"/>
      <c r="J4" s="28"/>
      <c r="K4" s="28"/>
      <c r="L4" s="86"/>
      <c r="M4" s="86"/>
      <c r="N4" s="86"/>
      <c r="S4" s="28"/>
    </row>
    <row r="5">
      <c r="A5" s="7"/>
      <c r="B5" s="89" t="inlineStr">
        <is>
          <t>claim_num.current</t>
        </is>
      </c>
      <c r="C5" s="83" t="inlineStr">
        <is>
          <t>acc_date.current</t>
        </is>
      </c>
      <c r="D5" s="83" t="inlineStr">
        <is>
          <t>rep_date.current</t>
        </is>
      </c>
      <c r="E5" s="83" t="inlineStr">
        <is>
          <t>clsd_date.current</t>
        </is>
      </c>
      <c r="F5" s="80" t="inlineStr">
        <is>
          <t>claim_status.current</t>
        </is>
      </c>
      <c r="G5" s="80" t="inlineStr">
        <is>
          <t>rep_loss.current</t>
        </is>
      </c>
      <c r="H5" s="80" t="inlineStr">
        <is>
          <t>pd_loss.current</t>
        </is>
      </c>
      <c r="I5" s="80" t="inlineStr">
        <is>
          <t>case_loss.current</t>
        </is>
      </c>
      <c r="J5" s="89" t="inlineStr">
        <is>
          <t>source.current</t>
        </is>
      </c>
      <c r="K5" s="89" t="inlineStr">
        <is>
          <t>claim_num.prior</t>
        </is>
      </c>
      <c r="L5" s="87" t="inlineStr">
        <is>
          <t>acc_date.prior</t>
        </is>
      </c>
      <c r="M5" s="87" t="inlineStr">
        <is>
          <t>rep_date.prior</t>
        </is>
      </c>
      <c r="N5" s="87" t="inlineStr">
        <is>
          <t>clsd_date.prior</t>
        </is>
      </c>
      <c r="O5" s="80" t="inlineStr">
        <is>
          <t>claim_status.prior</t>
        </is>
      </c>
      <c r="P5" s="80" t="inlineStr">
        <is>
          <t>rep_loss.prior</t>
        </is>
      </c>
      <c r="Q5" s="80" t="inlineStr">
        <is>
          <t>pd_loss.prior</t>
        </is>
      </c>
      <c r="R5" s="80" t="inlineStr">
        <is>
          <t>case_loss.prior</t>
        </is>
      </c>
      <c r="S5" s="89" t="inlineStr">
        <is>
          <t>source.prior</t>
        </is>
      </c>
      <c r="T5" s="80"/>
    </row>
    <row r="6">
      <c r="A6" s="7" t="inlineStr">
        <is>
          <t>13</t>
        </is>
      </c>
      <c r="B6" s="90" t="inlineStr">
        <is>
          <t/>
        </is>
      </c>
      <c r="C6" s="84" t="inlineStr">
        <is>
          <t/>
        </is>
      </c>
      <c r="D6" s="84" t="inlineStr">
        <is>
          <t/>
        </is>
      </c>
      <c r="E6" s="84" t="inlineStr">
        <is>
          <t/>
        </is>
      </c>
      <c r="F6" s="78" t="inlineStr">
        <is>
          <t/>
        </is>
      </c>
      <c r="G6" s="78" t="inlineStr">
        <is>
          <t/>
        </is>
      </c>
      <c r="H6" s="78" t="inlineStr">
        <is>
          <t/>
        </is>
      </c>
      <c r="I6" s="78" t="inlineStr">
        <is>
          <t/>
        </is>
      </c>
      <c r="J6" s="90" t="inlineStr">
        <is>
          <t/>
        </is>
      </c>
      <c r="K6" s="90" t="inlineStr">
        <is>
          <t>A0010</t>
        </is>
      </c>
      <c r="L6" s="88">
        <v>44312</v>
      </c>
      <c r="M6" s="88">
        <v>44545</v>
      </c>
      <c r="N6" s="88" t="inlineStr">
        <is>
          <t/>
        </is>
      </c>
      <c r="O6" s="78" t="inlineStr">
        <is>
          <t>Open</t>
        </is>
      </c>
      <c r="P6" s="78">
        <v>17378</v>
      </c>
      <c r="Q6" s="78">
        <v>12512</v>
      </c>
      <c r="R6" s="78">
        <v>4866</v>
      </c>
      <c r="S6" s="90" t="inlineStr">
        <is>
          <t>ex1_prior</t>
        </is>
      </c>
      <c r="T6" s="78"/>
    </row>
    <row r="7">
      <c r="B7" s="28"/>
      <c r="C7" s="82"/>
      <c r="D7" s="82"/>
      <c r="E7" s="82"/>
      <c r="J7" s="28"/>
      <c r="K7" s="28"/>
      <c r="L7" s="86"/>
      <c r="M7" s="86"/>
      <c r="N7" s="86"/>
      <c r="S7" s="28"/>
    </row>
    <row r="8">
      <c r="B8" s="28"/>
      <c r="C8" s="82"/>
      <c r="D8" s="82"/>
      <c r="E8" s="82"/>
      <c r="J8" s="28"/>
      <c r="K8" s="28"/>
      <c r="L8" s="86"/>
      <c r="M8" s="86"/>
      <c r="N8" s="86"/>
      <c r="S8" s="28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CB"/>
  </sheetPr>
  <dimension ref="A1:E20"/>
  <sheetViews>
    <sheetView showGridLines="1" showRowColHeaders="1" tabSelected="0" workbookViewId="0" zoomScale="100"/>
  </sheetViews>
  <sheetFormatPr baseColWidth="8" defaultRowHeight="16" x14ac:dyDescent="0.2"/>
  <cols>
    <col min="1" max="5" bestFit="1" customWidth="1" hidden="false" width="12.711"/>
  </cols>
  <sheetData>
    <row r="1">
      <c r="A1" s="7" t="inlineStr">
        <is>
          <t>error summary</t>
        </is>
      </c>
      <c r="B1" s="7"/>
      <c r="C1" s="7"/>
      <c r="D1" s="7"/>
      <c r="E1" s="7"/>
    </row>
    <row r="2">
      <c r="A2" t="inlineStr">
        <is>
          <t>table of error types and counts</t>
        </is>
      </c>
    </row>
    <row r="5">
      <c r="A5" s="7"/>
      <c r="B5" s="92" t="inlineStr">
        <is>
          <t>short</t>
        </is>
      </c>
      <c r="C5" s="92" t="inlineStr">
        <is>
          <t>message</t>
        </is>
      </c>
      <c r="D5" s="92" t="inlineStr">
        <is>
          <t>error</t>
        </is>
      </c>
      <c r="E5" s="92"/>
    </row>
    <row r="6">
      <c r="A6" s="7" t="inlineStr">
        <is>
          <t>1</t>
        </is>
      </c>
      <c r="B6" s="91" t="inlineStr">
        <is>
          <t>maybe missing claims</t>
        </is>
      </c>
      <c r="C6" s="91" t="inlineStr">
        <is>
          <t>claim numbers which potentially should show up but don't</t>
        </is>
      </c>
      <c r="D6" s="91">
        <v>1</v>
      </c>
      <c r="E6" s="91"/>
    </row>
    <row r="7">
      <c r="A7" s="7" t="inlineStr">
        <is>
          <t>2</t>
        </is>
      </c>
      <c r="B7" s="91" t="inlineStr">
        <is>
          <t>claim dupes</t>
        </is>
      </c>
      <c r="C7" s="91" t="inlineStr">
        <is>
          <t>claim numbers which show up multiple times</t>
        </is>
      </c>
      <c r="D7" s="91">
        <v>0</v>
      </c>
      <c r="E7" s="91"/>
    </row>
    <row r="8">
      <c r="A8" s="7" t="inlineStr">
        <is>
          <t>3</t>
        </is>
      </c>
      <c r="B8" s="91" t="inlineStr">
        <is>
          <t>closure flag vs case</t>
        </is>
      </c>
      <c r="C8" s="91" t="inlineStr">
        <is>
          <t>closure flag which doesn't seem to match case reserves</t>
        </is>
      </c>
      <c r="D8" s="91">
        <v>1</v>
      </c>
      <c r="E8" s="91"/>
    </row>
    <row r="9">
      <c r="A9" s="7" t="inlineStr">
        <is>
          <t>4</t>
        </is>
      </c>
      <c r="B9" s="91" t="inlineStr">
        <is>
          <t>closure flag vs close date</t>
        </is>
      </c>
      <c r="C9" s="91" t="inlineStr">
        <is>
          <t>closure flag which doesn't seem to match close date</t>
        </is>
      </c>
      <c r="D9" s="91">
        <v>0</v>
      </c>
      <c r="E9" s="91"/>
    </row>
    <row r="10">
      <c r="A10" s="7" t="inlineStr">
        <is>
          <t>5</t>
        </is>
      </c>
      <c r="B10" s="91" t="inlineStr">
        <is>
          <t>close date &lt; report date</t>
        </is>
      </c>
      <c r="C10" s="91" t="inlineStr">
        <is>
          <t>close date &lt; report date</t>
        </is>
      </c>
      <c r="D10" s="91">
        <v>0</v>
      </c>
      <c r="E10" s="91"/>
    </row>
    <row r="11">
      <c r="A11" s="7" t="inlineStr">
        <is>
          <t>6</t>
        </is>
      </c>
      <c r="B11" s="91" t="inlineStr">
        <is>
          <t>report date &lt; loss date</t>
        </is>
      </c>
      <c r="C11" s="91" t="inlineStr">
        <is>
          <t>report date &lt; loss date</t>
        </is>
      </c>
      <c r="D11" s="91">
        <v>0</v>
      </c>
      <c r="E11" s="91"/>
    </row>
    <row r="12">
      <c r="A12" s="7" t="inlineStr">
        <is>
          <t>7</t>
        </is>
      </c>
      <c r="B12" s="91" t="inlineStr">
        <is>
          <t>missing loss or report date</t>
        </is>
      </c>
      <c r="C12" s="91" t="inlineStr">
        <is>
          <t>missing loss or report date</t>
        </is>
      </c>
      <c r="D12" s="91">
        <v>0</v>
      </c>
      <c r="E12" s="91"/>
    </row>
    <row r="13">
      <c r="A13" s="7" t="inlineStr">
        <is>
          <t>8</t>
        </is>
      </c>
      <c r="B13" s="91" t="inlineStr">
        <is>
          <t>negative paid or case</t>
        </is>
      </c>
      <c r="C13" s="91" t="inlineStr">
        <is>
          <t>negative paid or case</t>
        </is>
      </c>
      <c r="D13" s="91">
        <v>0</v>
      </c>
      <c r="E13" s="91"/>
    </row>
    <row r="14">
      <c r="A14" s="7" t="inlineStr">
        <is>
          <t>9</t>
        </is>
      </c>
      <c r="B14" s="91" t="inlineStr">
        <is>
          <t>paid+case vs rptd</t>
        </is>
      </c>
      <c r="C14" s="91" t="inlineStr">
        <is>
          <t>paid+case vs rptd</t>
        </is>
      </c>
      <c r="D14" s="91">
        <v>1</v>
      </c>
      <c r="E14" s="91"/>
    </row>
    <row r="15">
      <c r="A15" s="7" t="inlineStr">
        <is>
          <t>10</t>
        </is>
      </c>
      <c r="B15" s="91" t="inlineStr">
        <is>
          <t>paid decreased</t>
        </is>
      </c>
      <c r="C15" s="91" t="inlineStr">
        <is>
          <t>paid decreased</t>
        </is>
      </c>
      <c r="D15" s="91">
        <v>2</v>
      </c>
      <c r="E15" s="91"/>
    </row>
    <row r="16">
      <c r="A16" s="7" t="inlineStr">
        <is>
          <t>11</t>
        </is>
      </c>
      <c r="B16" s="91" t="inlineStr">
        <is>
          <t>date decreased</t>
        </is>
      </c>
      <c r="C16" s="91" t="inlineStr">
        <is>
          <t>loss/report date decreased or disappeared</t>
        </is>
      </c>
      <c r="D16" s="91">
        <v>0</v>
      </c>
      <c r="E16" s="91"/>
    </row>
    <row r="17">
      <c r="A17" s="7" t="inlineStr">
        <is>
          <t>12</t>
        </is>
      </c>
      <c r="B17" s="91" t="inlineStr">
        <is>
          <t>loss or report date changed</t>
        </is>
      </c>
      <c r="C17" s="91" t="inlineStr">
        <is>
          <t>loss or report date changed</t>
        </is>
      </c>
      <c r="D17" s="91">
        <v>1</v>
      </c>
      <c r="E17" s="91"/>
    </row>
    <row r="18">
      <c r="A18" s="7" t="inlineStr">
        <is>
          <t>13</t>
        </is>
      </c>
      <c r="B18" s="91" t="inlineStr">
        <is>
          <t>claim number disappeared</t>
        </is>
      </c>
      <c r="C18" s="91" t="inlineStr">
        <is>
          <t>claim number present in prior but not current</t>
        </is>
      </c>
      <c r="D18" s="91">
        <v>1</v>
      </c>
      <c r="E18" s="91"/>
    </row>
    <row r="19">
      <c r="A19" s="7" t="inlineStr">
        <is>
          <t>14</t>
        </is>
      </c>
      <c r="B19" s="91" t="inlineStr">
        <is>
          <t>did we get new claims since last time?</t>
        </is>
      </c>
      <c r="C19" s="91" t="inlineStr">
        <is>
          <t>1 if we got no new claims since prior loss run, else 0</t>
        </is>
      </c>
      <c r="D19" s="91">
        <v>0</v>
      </c>
      <c r="E19" s="91"/>
    </row>
    <row r="20">
      <c r="A20" s="7" t="inlineStr">
        <is>
          <t>15</t>
        </is>
      </c>
      <c r="B20" s="91" t="inlineStr">
        <is>
          <t>retroactive changes</t>
        </is>
      </c>
      <c r="C20" s="91" t="inlineStr">
        <is>
          <t>new claims added in current loss run, with loss/report/close date likely prior to the evaluation date of the prior loss run</t>
        </is>
      </c>
      <c r="D20" s="91">
        <v>0</v>
      </c>
      <c r="E20" s="91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/>
  <DocSecurity>0</DocSecurity>
  <HeadingPairs>
    <vt:vector size="2" baseType="variant">
      <vt:variant>
        <vt:lpstr>Worksheets</vt:lpstr>
      </vt:variant>
      <vt:variant>
        <vt:i4>3</vt:i4>
      </vt:variant>
    </vt:vector>
  </HeadingPairs>
  <HyperlinksChanged>false</HyperlinksChanged>
  <LinksUpToDate>false</LinksUpToDate>
  <ScaleCrop>false</ScaleCrop>
  <SharedDoc>false</SharedDoc>
  <TitlesOfParts>
    <vt:vector size="3" baseType="lpstr">
      <vt:lpstr>ex1_curr</vt:lpstr>
      <vt:lpstr>ex1_prior</vt:lpstr>
      <vt:lpstr>ex2_tri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 Yu</dc:creator>
  <cp:lastModifiedBy>Patrick C Yu</cp:lastModifiedBy>
  <dcterms:created xsi:type="dcterms:W3CDTF">2023-05-02T21:10:36Z</dcterms:created>
  <dcterms:modified xsi:type="dcterms:W3CDTF">2023-05-04T22:58:25Z</dcterms:modified>
</cp:coreProperties>
</file>